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 Totals" sheetId="3" state="visible" r:id="rId3"/>
    <sheet xmlns:r="http://schemas.openxmlformats.org/officeDocument/2006/relationships" name="Yearly Totals" sheetId="4" state="visible" r:id="rId4"/>
    <sheet xmlns:r="http://schemas.openxmlformats.org/officeDocument/2006/relationships" name="Job Expenses" sheetId="5" state="visible" r:id="rId5"/>
    <sheet xmlns:r="http://schemas.openxmlformats.org/officeDocument/2006/relationships" name="Mileage Log" sheetId="6" state="visible" r:id="rId6"/>
    <sheet xmlns:r="http://schemas.openxmlformats.org/officeDocument/2006/relationships" name="Profit &amp; Loss" sheetId="7" state="visible" r:id="rId7"/>
    <sheet xmlns:r="http://schemas.openxmlformats.org/officeDocument/2006/relationships" name="Cash Flow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Quarterly Totals" sheetId="10" state="visible" r:id="rId10"/>
    <sheet xmlns:r="http://schemas.openxmlformats.org/officeDocument/2006/relationships" name="Tax Report" sheetId="11" state="visible" r:id="rId11"/>
    <sheet xmlns:r="http://schemas.openxmlformats.org/officeDocument/2006/relationships" name="Sales Tax Log" sheetId="12" state="visible" r:id="rId12"/>
    <sheet xmlns:r="http://schemas.openxmlformats.org/officeDocument/2006/relationships" name="Vehicle Deduction" sheetId="13" state="visible" r:id="rId13"/>
    <sheet xmlns:r="http://schemas.openxmlformats.org/officeDocument/2006/relationships" name="Tax Bracket Calculator" sheetId="14" state="visible" r:id="rId14"/>
    <sheet xmlns:r="http://schemas.openxmlformats.org/officeDocument/2006/relationships" name="Net Taxable Income" sheetId="15" state="visible" r:id="rId15"/>
    <sheet xmlns:r="http://schemas.openxmlformats.org/officeDocument/2006/relationships" name="IRS Schedule C" sheetId="16" state="visible" r:id="rId16"/>
    <sheet xmlns:r="http://schemas.openxmlformats.org/officeDocument/2006/relationships" name="Payroll Tax Estimator" sheetId="17" state="visible" r:id="rId17"/>
    <sheet xmlns:r="http://schemas.openxmlformats.org/officeDocument/2006/relationships" name="Credit Card Reconciliation" sheetId="18" state="visible" r:id="rId18"/>
    <sheet xmlns:r="http://schemas.openxmlformats.org/officeDocument/2006/relationships" name="Home Office Deduction" sheetId="19" state="visible" r:id="rId19"/>
    <sheet xmlns:r="http://schemas.openxmlformats.org/officeDocument/2006/relationships" name="Depreciation (456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_-"/>
    <numFmt numFmtId="165" formatCode="0.0"/>
    <numFmt numFmtId="166" formatCode="$#,##0.00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71426"/>
      <sz val="20"/>
    </font>
    <font>
      <i val="1"/>
    </font>
    <font>
      <b val="1"/>
      <color rgb="0000000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00"/>
      <sz val="20"/>
    </font>
    <font>
      <name val="Calibri"/>
      <i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71426"/>
        <bgColor rgb="00071426"/>
      </patternFill>
    </fill>
    <fill>
      <patternFill patternType="solid">
        <fgColor rgb="00D4AF37"/>
        <bgColor rgb="00D4AF3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1" pivotButton="0" quotePrefix="0" xfId="0"/>
    <xf numFmtId="0" fontId="3" fillId="0" borderId="0" applyAlignment="1" pivotButton="0" quotePrefix="0" xfId="0">
      <alignment horizontal="center"/>
    </xf>
    <xf numFmtId="0" fontId="2" fillId="0" borderId="1" pivotButton="0" quotePrefix="0" xfId="0"/>
    <xf numFmtId="0" fontId="4" fillId="0" borderId="0" pivotButton="0" quotePrefix="0" xfId="0"/>
    <xf numFmtId="0" fontId="5" fillId="3" borderId="1" pivotButton="0" quotePrefix="0" xfId="0"/>
    <xf numFmtId="166" fontId="0" fillId="0" borderId="0" pivotButton="0" quotePrefix="0" xfId="0"/>
    <xf numFmtId="166" fontId="0" fillId="0" borderId="1" pivotButton="0" quotePrefix="0" xfId="0"/>
    <xf numFmtId="0" fontId="1" fillId="2" borderId="1" pivotButton="0" quotePrefix="0" xfId="0"/>
    <xf numFmtId="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1" pivotButton="0" quotePrefix="0" xfId="0"/>
    <xf numFmtId="164" fontId="7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166" fontId="7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166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'Summary'!$A$2:$A$40</f>
            </numRef>
          </cat>
          <val>
            <numRef>
              <f>'Summary'!$B$2:$B$40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Job Profitability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 Expenses'!K1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'Job Expenses'!$J$2:$J$11</f>
            </numRef>
          </cat>
          <val>
            <numRef>
              <f>'Job Expenses'!$K$2:$K$11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'Profit &amp; Loss'!D1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'Profit &amp; Loss'!$A$2:$A$13</f>
            </numRef>
          </cat>
          <val>
            <numRef>
              <f>'Profit &amp; Loss'!$D$2:$D$13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Flow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'Cash Flow'!D3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'Cash Flow'!$A$4:$A$15</f>
            </numRef>
          </cat>
          <val>
            <numRef>
              <f>'Cash Flow'!$D$4:$D$15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Cash Flow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Date</t>
        </is>
      </c>
      <c r="B1" s="15" t="inlineStr">
        <is>
          <t>Description</t>
        </is>
      </c>
      <c r="C1" s="15" t="inlineStr">
        <is>
          <t>Category</t>
        </is>
      </c>
      <c r="D1" s="15" t="inlineStr">
        <is>
          <t>Amount ($)</t>
        </is>
      </c>
    </row>
    <row r="2">
      <c r="A2" s="2" t="n"/>
      <c r="B2" s="2" t="n"/>
      <c r="C2" s="2" t="n"/>
      <c r="D2" s="3" t="n"/>
    </row>
    <row r="3">
      <c r="A3" s="2" t="n"/>
      <c r="B3" s="2" t="n"/>
      <c r="C3" s="2" t="n"/>
      <c r="D3" s="3" t="n"/>
    </row>
    <row r="4">
      <c r="A4" s="2" t="n"/>
      <c r="B4" s="2" t="n"/>
      <c r="C4" s="2" t="n"/>
      <c r="D4" s="3" t="n"/>
    </row>
    <row r="5">
      <c r="A5" s="2" t="n"/>
      <c r="B5" s="2" t="n"/>
      <c r="C5" s="2" t="n"/>
      <c r="D5" s="3" t="n"/>
    </row>
    <row r="6">
      <c r="A6" s="2" t="n"/>
      <c r="B6" s="2" t="n"/>
      <c r="C6" s="2" t="n"/>
      <c r="D6" s="3" t="n"/>
    </row>
    <row r="7">
      <c r="A7" s="2" t="n"/>
      <c r="B7" s="2" t="n"/>
      <c r="C7" s="2" t="n"/>
      <c r="D7" s="3" t="n"/>
    </row>
    <row r="8">
      <c r="A8" s="2" t="n"/>
      <c r="B8" s="2" t="n"/>
      <c r="C8" s="2" t="n"/>
      <c r="D8" s="3" t="n"/>
    </row>
    <row r="9">
      <c r="A9" s="2" t="n"/>
      <c r="B9" s="2" t="n"/>
      <c r="C9" s="2" t="n"/>
      <c r="D9" s="3" t="n"/>
    </row>
    <row r="10">
      <c r="A10" s="2" t="n"/>
      <c r="B10" s="2" t="n"/>
      <c r="C10" s="2" t="n"/>
      <c r="D10" s="3" t="n"/>
    </row>
    <row r="11">
      <c r="A11" s="2" t="n"/>
      <c r="B11" s="2" t="n"/>
      <c r="C11" s="2" t="n"/>
      <c r="D11" s="3" t="n"/>
    </row>
    <row r="12">
      <c r="A12" s="2" t="n"/>
      <c r="B12" s="2" t="n"/>
      <c r="C12" s="2" t="n"/>
      <c r="D12" s="3" t="n"/>
    </row>
    <row r="13">
      <c r="A13" s="2" t="n"/>
      <c r="B13" s="2" t="n"/>
      <c r="C13" s="2" t="n"/>
      <c r="D13" s="3" t="n"/>
    </row>
    <row r="14">
      <c r="A14" s="2" t="n"/>
      <c r="B14" s="2" t="n"/>
      <c r="C14" s="2" t="n"/>
      <c r="D14" s="3" t="n"/>
    </row>
    <row r="15">
      <c r="A15" s="2" t="n"/>
      <c r="B15" s="2" t="n"/>
      <c r="C15" s="2" t="n"/>
      <c r="D15" s="3" t="n"/>
    </row>
    <row r="16">
      <c r="A16" s="2" t="n"/>
      <c r="B16" s="2" t="n"/>
      <c r="C16" s="2" t="n"/>
      <c r="D16" s="3" t="n"/>
    </row>
    <row r="17">
      <c r="A17" s="2" t="n"/>
      <c r="B17" s="2" t="n"/>
      <c r="C17" s="2" t="n"/>
      <c r="D17" s="3" t="n"/>
    </row>
    <row r="18">
      <c r="A18" s="2" t="n"/>
      <c r="B18" s="2" t="n"/>
      <c r="C18" s="2" t="n"/>
      <c r="D18" s="3" t="n"/>
    </row>
    <row r="19">
      <c r="A19" s="2" t="n"/>
      <c r="B19" s="2" t="n"/>
      <c r="C19" s="2" t="n"/>
      <c r="D19" s="3" t="n"/>
    </row>
    <row r="20">
      <c r="A20" s="2" t="n"/>
      <c r="B20" s="2" t="n"/>
      <c r="C20" s="2" t="n"/>
      <c r="D20" s="3" t="n"/>
    </row>
    <row r="21">
      <c r="A21" s="2" t="n"/>
      <c r="B21" s="2" t="n"/>
      <c r="C21" s="2" t="n"/>
      <c r="D21" s="3" t="n"/>
    </row>
    <row r="22">
      <c r="A22" s="2" t="n"/>
      <c r="B22" s="2" t="n"/>
      <c r="C22" s="2" t="n"/>
      <c r="D22" s="3" t="n"/>
    </row>
    <row r="23">
      <c r="A23" s="2" t="n"/>
      <c r="B23" s="2" t="n"/>
      <c r="C23" s="2" t="n"/>
      <c r="D23" s="3" t="n"/>
    </row>
    <row r="24">
      <c r="A24" s="2" t="n"/>
      <c r="B24" s="2" t="n"/>
      <c r="C24" s="2" t="n"/>
      <c r="D24" s="3" t="n"/>
    </row>
    <row r="25">
      <c r="A25" s="2" t="n"/>
      <c r="B25" s="2" t="n"/>
      <c r="C25" s="2" t="n"/>
      <c r="D25" s="3" t="n"/>
    </row>
    <row r="26">
      <c r="A26" s="2" t="n"/>
      <c r="B26" s="2" t="n"/>
      <c r="C26" s="2" t="n"/>
      <c r="D26" s="3" t="n"/>
    </row>
    <row r="27">
      <c r="A27" s="2" t="n"/>
      <c r="B27" s="2" t="n"/>
      <c r="C27" s="2" t="n"/>
      <c r="D27" s="3" t="n"/>
    </row>
    <row r="28">
      <c r="A28" s="2" t="n"/>
      <c r="B28" s="2" t="n"/>
      <c r="C28" s="2" t="n"/>
      <c r="D28" s="3" t="n"/>
    </row>
    <row r="29">
      <c r="A29" s="2" t="n"/>
      <c r="B29" s="2" t="n"/>
      <c r="C29" s="2" t="n"/>
      <c r="D29" s="3" t="n"/>
    </row>
    <row r="30">
      <c r="A30" s="2" t="n"/>
      <c r="B30" s="2" t="n"/>
      <c r="C30" s="2" t="n"/>
      <c r="D30" s="3" t="n"/>
    </row>
    <row r="31">
      <c r="A31" s="2" t="n"/>
      <c r="B31" s="2" t="n"/>
      <c r="C31" s="2" t="n"/>
      <c r="D31" s="3" t="n"/>
    </row>
    <row r="32">
      <c r="A32" s="2" t="n"/>
      <c r="B32" s="2" t="n"/>
      <c r="C32" s="2" t="n"/>
      <c r="D32" s="3" t="n"/>
    </row>
    <row r="33">
      <c r="A33" s="2" t="n"/>
      <c r="B33" s="2" t="n"/>
      <c r="C33" s="2" t="n"/>
      <c r="D33" s="3" t="n"/>
    </row>
    <row r="34">
      <c r="A34" s="2" t="n"/>
      <c r="B34" s="2" t="n"/>
      <c r="C34" s="2" t="n"/>
      <c r="D34" s="3" t="n"/>
    </row>
    <row r="35">
      <c r="A35" s="2" t="n"/>
      <c r="B35" s="2" t="n"/>
      <c r="C35" s="2" t="n"/>
      <c r="D35" s="3" t="n"/>
    </row>
    <row r="36">
      <c r="A36" s="2" t="n"/>
      <c r="B36" s="2" t="n"/>
      <c r="C36" s="2" t="n"/>
      <c r="D36" s="3" t="n"/>
    </row>
    <row r="37">
      <c r="A37" s="2" t="n"/>
      <c r="B37" s="2" t="n"/>
      <c r="C37" s="2" t="n"/>
      <c r="D37" s="3" t="n"/>
    </row>
    <row r="38">
      <c r="A38" s="2" t="n"/>
      <c r="B38" s="2" t="n"/>
      <c r="C38" s="2" t="n"/>
      <c r="D38" s="3" t="n"/>
    </row>
    <row r="39">
      <c r="A39" s="2" t="n"/>
      <c r="B39" s="2" t="n"/>
      <c r="C39" s="2" t="n"/>
      <c r="D39" s="3" t="n"/>
    </row>
    <row r="40">
      <c r="A40" s="2" t="n"/>
      <c r="B40" s="2" t="n"/>
      <c r="C40" s="2" t="n"/>
      <c r="D40" s="3" t="n"/>
    </row>
    <row r="41">
      <c r="A41" s="2" t="n"/>
      <c r="B41" s="2" t="n"/>
      <c r="C41" s="2" t="n"/>
      <c r="D41" s="3" t="n"/>
    </row>
    <row r="42">
      <c r="A42" s="2" t="n"/>
      <c r="B42" s="2" t="n"/>
      <c r="C42" s="2" t="n"/>
      <c r="D42" s="3" t="n"/>
    </row>
    <row r="43">
      <c r="A43" s="2" t="n"/>
      <c r="B43" s="2" t="n"/>
      <c r="C43" s="2" t="n"/>
      <c r="D43" s="3" t="n"/>
    </row>
    <row r="44">
      <c r="A44" s="2" t="n"/>
      <c r="B44" s="2" t="n"/>
      <c r="C44" s="2" t="n"/>
      <c r="D44" s="3" t="n"/>
    </row>
    <row r="45">
      <c r="A45" s="2" t="n"/>
      <c r="B45" s="2" t="n"/>
      <c r="C45" s="2" t="n"/>
      <c r="D45" s="3" t="n"/>
    </row>
    <row r="46">
      <c r="A46" s="2" t="n"/>
      <c r="B46" s="2" t="n"/>
      <c r="C46" s="2" t="n"/>
      <c r="D46" s="3" t="n"/>
    </row>
    <row r="47">
      <c r="A47" s="2" t="n"/>
      <c r="B47" s="2" t="n"/>
      <c r="C47" s="2" t="n"/>
      <c r="D47" s="3" t="n"/>
    </row>
    <row r="48">
      <c r="A48" s="2" t="n"/>
      <c r="B48" s="2" t="n"/>
      <c r="C48" s="2" t="n"/>
      <c r="D48" s="3" t="n"/>
    </row>
    <row r="49">
      <c r="A49" s="2" t="n"/>
      <c r="B49" s="2" t="n"/>
      <c r="C49" s="2" t="n"/>
      <c r="D49" s="3" t="n"/>
    </row>
    <row r="50">
      <c r="A50" s="2" t="n"/>
      <c r="B50" s="2" t="n"/>
      <c r="C50" s="2" t="n"/>
      <c r="D50" s="3" t="n"/>
    </row>
    <row r="51">
      <c r="A51" s="2" t="n"/>
      <c r="B51" s="2" t="n"/>
      <c r="C51" s="2" t="n"/>
      <c r="D51" s="3" t="n"/>
    </row>
    <row r="52">
      <c r="A52" s="2" t="n"/>
      <c r="B52" s="2" t="n"/>
      <c r="C52" s="2" t="n"/>
      <c r="D52" s="3" t="n"/>
    </row>
    <row r="53">
      <c r="A53" s="2" t="n"/>
      <c r="B53" s="2" t="n"/>
      <c r="C53" s="2" t="n"/>
      <c r="D53" s="3" t="n"/>
    </row>
    <row r="54">
      <c r="A54" s="2" t="n"/>
      <c r="B54" s="2" t="n"/>
      <c r="C54" s="2" t="n"/>
      <c r="D54" s="3" t="n"/>
    </row>
    <row r="55">
      <c r="A55" s="2" t="n"/>
      <c r="B55" s="2" t="n"/>
      <c r="C55" s="2" t="n"/>
      <c r="D55" s="3" t="n"/>
    </row>
    <row r="56">
      <c r="A56" s="2" t="n"/>
      <c r="B56" s="2" t="n"/>
      <c r="C56" s="2" t="n"/>
      <c r="D56" s="3" t="n"/>
    </row>
    <row r="57">
      <c r="A57" s="2" t="n"/>
      <c r="B57" s="2" t="n"/>
      <c r="C57" s="2" t="n"/>
      <c r="D57" s="3" t="n"/>
    </row>
    <row r="58">
      <c r="A58" s="2" t="n"/>
      <c r="B58" s="2" t="n"/>
      <c r="C58" s="2" t="n"/>
      <c r="D58" s="3" t="n"/>
    </row>
    <row r="59">
      <c r="A59" s="2" t="n"/>
      <c r="B59" s="2" t="n"/>
      <c r="C59" s="2" t="n"/>
      <c r="D59" s="3" t="n"/>
    </row>
    <row r="60">
      <c r="A60" s="2" t="n"/>
      <c r="B60" s="2" t="n"/>
      <c r="C60" s="2" t="n"/>
      <c r="D60" s="3" t="n"/>
    </row>
    <row r="61">
      <c r="A61" s="2" t="n"/>
      <c r="B61" s="2" t="n"/>
      <c r="C61" s="2" t="n"/>
      <c r="D61" s="3" t="n"/>
    </row>
    <row r="62">
      <c r="A62" s="2" t="n"/>
      <c r="B62" s="2" t="n"/>
      <c r="C62" s="2" t="n"/>
      <c r="D62" s="3" t="n"/>
    </row>
    <row r="63">
      <c r="A63" s="2" t="n"/>
      <c r="B63" s="2" t="n"/>
      <c r="C63" s="2" t="n"/>
      <c r="D63" s="3" t="n"/>
    </row>
    <row r="64">
      <c r="A64" s="2" t="n"/>
      <c r="B64" s="2" t="n"/>
      <c r="C64" s="2" t="n"/>
      <c r="D64" s="3" t="n"/>
    </row>
    <row r="65">
      <c r="A65" s="2" t="n"/>
      <c r="B65" s="2" t="n"/>
      <c r="C65" s="2" t="n"/>
      <c r="D65" s="3" t="n"/>
    </row>
    <row r="66">
      <c r="A66" s="2" t="n"/>
      <c r="B66" s="2" t="n"/>
      <c r="C66" s="2" t="n"/>
      <c r="D66" s="3" t="n"/>
    </row>
    <row r="67">
      <c r="A67" s="2" t="n"/>
      <c r="B67" s="2" t="n"/>
      <c r="C67" s="2" t="n"/>
      <c r="D67" s="3" t="n"/>
    </row>
    <row r="68">
      <c r="A68" s="2" t="n"/>
      <c r="B68" s="2" t="n"/>
      <c r="C68" s="2" t="n"/>
      <c r="D68" s="3" t="n"/>
    </row>
    <row r="69">
      <c r="A69" s="2" t="n"/>
      <c r="B69" s="2" t="n"/>
      <c r="C69" s="2" t="n"/>
      <c r="D69" s="3" t="n"/>
    </row>
    <row r="70">
      <c r="A70" s="2" t="n"/>
      <c r="B70" s="2" t="n"/>
      <c r="C70" s="2" t="n"/>
      <c r="D70" s="3" t="n"/>
    </row>
    <row r="71">
      <c r="A71" s="2" t="n"/>
      <c r="B71" s="2" t="n"/>
      <c r="C71" s="2" t="n"/>
      <c r="D71" s="3" t="n"/>
    </row>
    <row r="72">
      <c r="A72" s="2" t="n"/>
      <c r="B72" s="2" t="n"/>
      <c r="C72" s="2" t="n"/>
      <c r="D72" s="3" t="n"/>
    </row>
    <row r="73">
      <c r="A73" s="2" t="n"/>
      <c r="B73" s="2" t="n"/>
      <c r="C73" s="2" t="n"/>
      <c r="D73" s="3" t="n"/>
    </row>
    <row r="74">
      <c r="A74" s="2" t="n"/>
      <c r="B74" s="2" t="n"/>
      <c r="C74" s="2" t="n"/>
      <c r="D74" s="3" t="n"/>
    </row>
    <row r="75">
      <c r="A75" s="2" t="n"/>
      <c r="B75" s="2" t="n"/>
      <c r="C75" s="2" t="n"/>
      <c r="D75" s="3" t="n"/>
    </row>
    <row r="76">
      <c r="A76" s="2" t="n"/>
      <c r="B76" s="2" t="n"/>
      <c r="C76" s="2" t="n"/>
      <c r="D76" s="3" t="n"/>
    </row>
    <row r="77">
      <c r="A77" s="2" t="n"/>
      <c r="B77" s="2" t="n"/>
      <c r="C77" s="2" t="n"/>
      <c r="D77" s="3" t="n"/>
    </row>
    <row r="78">
      <c r="A78" s="2" t="n"/>
      <c r="B78" s="2" t="n"/>
      <c r="C78" s="2" t="n"/>
      <c r="D78" s="3" t="n"/>
    </row>
    <row r="79">
      <c r="A79" s="2" t="n"/>
      <c r="B79" s="2" t="n"/>
      <c r="C79" s="2" t="n"/>
      <c r="D79" s="3" t="n"/>
    </row>
    <row r="80">
      <c r="A80" s="2" t="n"/>
      <c r="B80" s="2" t="n"/>
      <c r="C80" s="2" t="n"/>
      <c r="D80" s="3" t="n"/>
    </row>
    <row r="81">
      <c r="A81" s="2" t="n"/>
      <c r="B81" s="2" t="n"/>
      <c r="C81" s="2" t="n"/>
      <c r="D81" s="3" t="n"/>
    </row>
    <row r="82">
      <c r="A82" s="2" t="n"/>
      <c r="B82" s="2" t="n"/>
      <c r="C82" s="2" t="n"/>
      <c r="D82" s="3" t="n"/>
    </row>
    <row r="83">
      <c r="A83" s="2" t="n"/>
      <c r="B83" s="2" t="n"/>
      <c r="C83" s="2" t="n"/>
      <c r="D83" s="3" t="n"/>
    </row>
    <row r="84">
      <c r="A84" s="2" t="n"/>
      <c r="B84" s="2" t="n"/>
      <c r="C84" s="2" t="n"/>
      <c r="D84" s="3" t="n"/>
    </row>
    <row r="85">
      <c r="A85" s="2" t="n"/>
      <c r="B85" s="2" t="n"/>
      <c r="C85" s="2" t="n"/>
      <c r="D85" s="3" t="n"/>
    </row>
    <row r="86">
      <c r="A86" s="2" t="n"/>
      <c r="B86" s="2" t="n"/>
      <c r="C86" s="2" t="n"/>
      <c r="D86" s="3" t="n"/>
    </row>
    <row r="87">
      <c r="A87" s="2" t="n"/>
      <c r="B87" s="2" t="n"/>
      <c r="C87" s="2" t="n"/>
      <c r="D87" s="3" t="n"/>
    </row>
    <row r="88">
      <c r="A88" s="2" t="n"/>
      <c r="B88" s="2" t="n"/>
      <c r="C88" s="2" t="n"/>
      <c r="D88" s="3" t="n"/>
    </row>
    <row r="89">
      <c r="A89" s="2" t="n"/>
      <c r="B89" s="2" t="n"/>
      <c r="C89" s="2" t="n"/>
      <c r="D89" s="3" t="n"/>
    </row>
    <row r="90">
      <c r="A90" s="2" t="n"/>
      <c r="B90" s="2" t="n"/>
      <c r="C90" s="2" t="n"/>
      <c r="D90" s="3" t="n"/>
    </row>
    <row r="91">
      <c r="A91" s="2" t="n"/>
      <c r="B91" s="2" t="n"/>
      <c r="C91" s="2" t="n"/>
      <c r="D91" s="3" t="n"/>
    </row>
    <row r="92">
      <c r="A92" s="2" t="n"/>
      <c r="B92" s="2" t="n"/>
      <c r="C92" s="2" t="n"/>
      <c r="D92" s="3" t="n"/>
    </row>
    <row r="93">
      <c r="A93" s="2" t="n"/>
      <c r="B93" s="2" t="n"/>
      <c r="C93" s="2" t="n"/>
      <c r="D93" s="3" t="n"/>
    </row>
    <row r="94">
      <c r="A94" s="2" t="n"/>
      <c r="B94" s="2" t="n"/>
      <c r="C94" s="2" t="n"/>
      <c r="D94" s="3" t="n"/>
    </row>
    <row r="95">
      <c r="A95" s="2" t="n"/>
      <c r="B95" s="2" t="n"/>
      <c r="C95" s="2" t="n"/>
      <c r="D95" s="3" t="n"/>
    </row>
    <row r="96">
      <c r="A96" s="2" t="n"/>
      <c r="B96" s="2" t="n"/>
      <c r="C96" s="2" t="n"/>
      <c r="D96" s="3" t="n"/>
    </row>
    <row r="97">
      <c r="A97" s="2" t="n"/>
      <c r="B97" s="2" t="n"/>
      <c r="C97" s="2" t="n"/>
      <c r="D97" s="3" t="n"/>
    </row>
    <row r="98">
      <c r="A98" s="2" t="n"/>
      <c r="B98" s="2" t="n"/>
      <c r="C98" s="2" t="n"/>
      <c r="D98" s="3" t="n"/>
    </row>
    <row r="99">
      <c r="A99" s="2" t="n"/>
      <c r="B99" s="2" t="n"/>
      <c r="C99" s="2" t="n"/>
      <c r="D99" s="3" t="n"/>
    </row>
    <row r="100">
      <c r="A100" s="2" t="n"/>
      <c r="B100" s="2" t="n"/>
      <c r="C100" s="2" t="n"/>
      <c r="D100" s="3" t="n"/>
    </row>
    <row r="101">
      <c r="A101" s="2" t="n"/>
      <c r="B101" s="2" t="n"/>
      <c r="C101" s="2" t="n"/>
      <c r="D101" s="3" t="n"/>
    </row>
    <row r="102">
      <c r="A102" s="2" t="n"/>
      <c r="B102" s="2" t="n"/>
      <c r="C102" s="2" t="n"/>
      <c r="D102" s="3" t="n"/>
    </row>
    <row r="103">
      <c r="A103" s="2" t="n"/>
      <c r="B103" s="2" t="n"/>
      <c r="C103" s="2" t="n"/>
      <c r="D103" s="3" t="n"/>
    </row>
    <row r="104">
      <c r="A104" s="2" t="n"/>
      <c r="B104" s="2" t="n"/>
      <c r="C104" s="2" t="n"/>
      <c r="D104" s="3" t="n"/>
    </row>
    <row r="105">
      <c r="A105" s="2" t="n"/>
      <c r="B105" s="2" t="n"/>
      <c r="C105" s="2" t="n"/>
      <c r="D105" s="3" t="n"/>
    </row>
    <row r="106">
      <c r="A106" s="2" t="n"/>
      <c r="B106" s="2" t="n"/>
      <c r="C106" s="2" t="n"/>
      <c r="D106" s="3" t="n"/>
    </row>
    <row r="107">
      <c r="A107" s="2" t="n"/>
      <c r="B107" s="2" t="n"/>
      <c r="C107" s="2" t="n"/>
      <c r="D107" s="3" t="n"/>
    </row>
    <row r="108">
      <c r="A108" s="2" t="n"/>
      <c r="B108" s="2" t="n"/>
      <c r="C108" s="2" t="n"/>
      <c r="D108" s="3" t="n"/>
    </row>
    <row r="109">
      <c r="A109" s="2" t="n"/>
      <c r="B109" s="2" t="n"/>
      <c r="C109" s="2" t="n"/>
      <c r="D109" s="3" t="n"/>
    </row>
    <row r="110">
      <c r="A110" s="2" t="n"/>
      <c r="B110" s="2" t="n"/>
      <c r="C110" s="2" t="n"/>
      <c r="D110" s="3" t="n"/>
    </row>
    <row r="111">
      <c r="A111" s="2" t="n"/>
      <c r="B111" s="2" t="n"/>
      <c r="C111" s="2" t="n"/>
      <c r="D111" s="3" t="n"/>
    </row>
    <row r="112">
      <c r="A112" s="2" t="n"/>
      <c r="B112" s="2" t="n"/>
      <c r="C112" s="2" t="n"/>
      <c r="D112" s="3" t="n"/>
    </row>
    <row r="113">
      <c r="A113" s="2" t="n"/>
      <c r="B113" s="2" t="n"/>
      <c r="C113" s="2" t="n"/>
      <c r="D113" s="3" t="n"/>
    </row>
    <row r="114">
      <c r="A114" s="2" t="n"/>
      <c r="B114" s="2" t="n"/>
      <c r="C114" s="2" t="n"/>
      <c r="D114" s="3" t="n"/>
    </row>
    <row r="115">
      <c r="A115" s="2" t="n"/>
      <c r="B115" s="2" t="n"/>
      <c r="C115" s="2" t="n"/>
      <c r="D115" s="3" t="n"/>
    </row>
    <row r="116">
      <c r="A116" s="2" t="n"/>
      <c r="B116" s="2" t="n"/>
      <c r="C116" s="2" t="n"/>
      <c r="D116" s="3" t="n"/>
    </row>
    <row r="117">
      <c r="A117" s="2" t="n"/>
      <c r="B117" s="2" t="n"/>
      <c r="C117" s="2" t="n"/>
      <c r="D117" s="3" t="n"/>
    </row>
    <row r="118">
      <c r="A118" s="2" t="n"/>
      <c r="B118" s="2" t="n"/>
      <c r="C118" s="2" t="n"/>
      <c r="D118" s="3" t="n"/>
    </row>
    <row r="119">
      <c r="A119" s="2" t="n"/>
      <c r="B119" s="2" t="n"/>
      <c r="C119" s="2" t="n"/>
      <c r="D119" s="3" t="n"/>
    </row>
    <row r="120">
      <c r="A120" s="2" t="n"/>
      <c r="B120" s="2" t="n"/>
      <c r="C120" s="2" t="n"/>
      <c r="D120" s="3" t="n"/>
    </row>
    <row r="121">
      <c r="A121" s="2" t="n"/>
      <c r="B121" s="2" t="n"/>
      <c r="C121" s="2" t="n"/>
      <c r="D121" s="3" t="n"/>
    </row>
    <row r="122">
      <c r="A122" s="2" t="n"/>
      <c r="B122" s="2" t="n"/>
      <c r="C122" s="2" t="n"/>
      <c r="D122" s="3" t="n"/>
    </row>
    <row r="123">
      <c r="A123" s="2" t="n"/>
      <c r="B123" s="2" t="n"/>
      <c r="C123" s="2" t="n"/>
      <c r="D123" s="3" t="n"/>
    </row>
    <row r="124">
      <c r="A124" s="2" t="n"/>
      <c r="B124" s="2" t="n"/>
      <c r="C124" s="2" t="n"/>
      <c r="D124" s="3" t="n"/>
    </row>
    <row r="125">
      <c r="A125" s="2" t="n"/>
      <c r="B125" s="2" t="n"/>
      <c r="C125" s="2" t="n"/>
      <c r="D125" s="3" t="n"/>
    </row>
    <row r="126">
      <c r="A126" s="2" t="n"/>
      <c r="B126" s="2" t="n"/>
      <c r="C126" s="2" t="n"/>
      <c r="D126" s="3" t="n"/>
    </row>
    <row r="127">
      <c r="A127" s="2" t="n"/>
      <c r="B127" s="2" t="n"/>
      <c r="C127" s="2" t="n"/>
      <c r="D127" s="3" t="n"/>
    </row>
    <row r="128">
      <c r="A128" s="2" t="n"/>
      <c r="B128" s="2" t="n"/>
      <c r="C128" s="2" t="n"/>
      <c r="D128" s="3" t="n"/>
    </row>
    <row r="129">
      <c r="A129" s="2" t="n"/>
      <c r="B129" s="2" t="n"/>
      <c r="C129" s="2" t="n"/>
      <c r="D129" s="3" t="n"/>
    </row>
    <row r="130">
      <c r="A130" s="2" t="n"/>
      <c r="B130" s="2" t="n"/>
      <c r="C130" s="2" t="n"/>
      <c r="D130" s="3" t="n"/>
    </row>
    <row r="131">
      <c r="A131" s="2" t="n"/>
      <c r="B131" s="2" t="n"/>
      <c r="C131" s="2" t="n"/>
      <c r="D131" s="3" t="n"/>
    </row>
    <row r="132">
      <c r="A132" s="2" t="n"/>
      <c r="B132" s="2" t="n"/>
      <c r="C132" s="2" t="n"/>
      <c r="D132" s="3" t="n"/>
    </row>
    <row r="133">
      <c r="A133" s="2" t="n"/>
      <c r="B133" s="2" t="n"/>
      <c r="C133" s="2" t="n"/>
      <c r="D133" s="3" t="n"/>
    </row>
    <row r="134">
      <c r="A134" s="2" t="n"/>
      <c r="B134" s="2" t="n"/>
      <c r="C134" s="2" t="n"/>
      <c r="D134" s="3" t="n"/>
    </row>
    <row r="135">
      <c r="A135" s="2" t="n"/>
      <c r="B135" s="2" t="n"/>
      <c r="C135" s="2" t="n"/>
      <c r="D135" s="3" t="n"/>
    </row>
    <row r="136">
      <c r="A136" s="2" t="n"/>
      <c r="B136" s="2" t="n"/>
      <c r="C136" s="2" t="n"/>
      <c r="D136" s="3" t="n"/>
    </row>
    <row r="137">
      <c r="A137" s="2" t="n"/>
      <c r="B137" s="2" t="n"/>
      <c r="C137" s="2" t="n"/>
      <c r="D137" s="3" t="n"/>
    </row>
    <row r="138">
      <c r="A138" s="2" t="n"/>
      <c r="B138" s="2" t="n"/>
      <c r="C138" s="2" t="n"/>
      <c r="D138" s="3" t="n"/>
    </row>
    <row r="139">
      <c r="A139" s="2" t="n"/>
      <c r="B139" s="2" t="n"/>
      <c r="C139" s="2" t="n"/>
      <c r="D139" s="3" t="n"/>
    </row>
    <row r="140">
      <c r="A140" s="2" t="n"/>
      <c r="B140" s="2" t="n"/>
      <c r="C140" s="2" t="n"/>
      <c r="D140" s="3" t="n"/>
    </row>
    <row r="141">
      <c r="A141" s="2" t="n"/>
      <c r="B141" s="2" t="n"/>
      <c r="C141" s="2" t="n"/>
      <c r="D141" s="3" t="n"/>
    </row>
    <row r="142">
      <c r="A142" s="2" t="n"/>
      <c r="B142" s="2" t="n"/>
      <c r="C142" s="2" t="n"/>
      <c r="D142" s="3" t="n"/>
    </row>
    <row r="143">
      <c r="A143" s="2" t="n"/>
      <c r="B143" s="2" t="n"/>
      <c r="C143" s="2" t="n"/>
      <c r="D143" s="3" t="n"/>
    </row>
    <row r="144">
      <c r="A144" s="2" t="n"/>
      <c r="B144" s="2" t="n"/>
      <c r="C144" s="2" t="n"/>
      <c r="D144" s="3" t="n"/>
    </row>
    <row r="145">
      <c r="A145" s="2" t="n"/>
      <c r="B145" s="2" t="n"/>
      <c r="C145" s="2" t="n"/>
      <c r="D145" s="3" t="n"/>
    </row>
    <row r="146">
      <c r="A146" s="2" t="n"/>
      <c r="B146" s="2" t="n"/>
      <c r="C146" s="2" t="n"/>
      <c r="D146" s="3" t="n"/>
    </row>
    <row r="147">
      <c r="A147" s="2" t="n"/>
      <c r="B147" s="2" t="n"/>
      <c r="C147" s="2" t="n"/>
      <c r="D147" s="3" t="n"/>
    </row>
    <row r="148">
      <c r="A148" s="2" t="n"/>
      <c r="B148" s="2" t="n"/>
      <c r="C148" s="2" t="n"/>
      <c r="D148" s="3" t="n"/>
    </row>
    <row r="149">
      <c r="A149" s="2" t="n"/>
      <c r="B149" s="2" t="n"/>
      <c r="C149" s="2" t="n"/>
      <c r="D149" s="3" t="n"/>
    </row>
    <row r="150">
      <c r="A150" s="2" t="n"/>
      <c r="B150" s="2" t="n"/>
      <c r="C150" s="2" t="n"/>
      <c r="D150" s="3" t="n"/>
    </row>
    <row r="151">
      <c r="A151" s="2" t="n"/>
      <c r="B151" s="2" t="n"/>
      <c r="C151" s="2" t="n"/>
      <c r="D151" s="3" t="n"/>
    </row>
    <row r="152">
      <c r="A152" s="2" t="n"/>
      <c r="B152" s="2" t="n"/>
      <c r="C152" s="2" t="n"/>
      <c r="D152" s="3" t="n"/>
    </row>
    <row r="153">
      <c r="A153" s="2" t="n"/>
      <c r="B153" s="2" t="n"/>
      <c r="C153" s="2" t="n"/>
      <c r="D153" s="3" t="n"/>
    </row>
    <row r="154">
      <c r="A154" s="2" t="n"/>
      <c r="B154" s="2" t="n"/>
      <c r="C154" s="2" t="n"/>
      <c r="D154" s="3" t="n"/>
    </row>
    <row r="155">
      <c r="A155" s="2" t="n"/>
      <c r="B155" s="2" t="n"/>
      <c r="C155" s="2" t="n"/>
      <c r="D155" s="3" t="n"/>
    </row>
    <row r="156">
      <c r="A156" s="2" t="n"/>
      <c r="B156" s="2" t="n"/>
      <c r="C156" s="2" t="n"/>
      <c r="D156" s="3" t="n"/>
    </row>
    <row r="157">
      <c r="A157" s="2" t="n"/>
      <c r="B157" s="2" t="n"/>
      <c r="C157" s="2" t="n"/>
      <c r="D157" s="3" t="n"/>
    </row>
    <row r="158">
      <c r="A158" s="2" t="n"/>
      <c r="B158" s="2" t="n"/>
      <c r="C158" s="2" t="n"/>
      <c r="D158" s="3" t="n"/>
    </row>
    <row r="159">
      <c r="A159" s="2" t="n"/>
      <c r="B159" s="2" t="n"/>
      <c r="C159" s="2" t="n"/>
      <c r="D159" s="3" t="n"/>
    </row>
    <row r="160">
      <c r="A160" s="2" t="n"/>
      <c r="B160" s="2" t="n"/>
      <c r="C160" s="2" t="n"/>
      <c r="D160" s="3" t="n"/>
    </row>
    <row r="161">
      <c r="A161" s="2" t="n"/>
      <c r="B161" s="2" t="n"/>
      <c r="C161" s="2" t="n"/>
      <c r="D161" s="3" t="n"/>
    </row>
    <row r="162">
      <c r="A162" s="2" t="n"/>
      <c r="B162" s="2" t="n"/>
      <c r="C162" s="2" t="n"/>
      <c r="D162" s="3" t="n"/>
    </row>
    <row r="163">
      <c r="A163" s="2" t="n"/>
      <c r="B163" s="2" t="n"/>
      <c r="C163" s="2" t="n"/>
      <c r="D163" s="3" t="n"/>
    </row>
    <row r="164">
      <c r="A164" s="2" t="n"/>
      <c r="B164" s="2" t="n"/>
      <c r="C164" s="2" t="n"/>
      <c r="D164" s="3" t="n"/>
    </row>
    <row r="165">
      <c r="A165" s="2" t="n"/>
      <c r="B165" s="2" t="n"/>
      <c r="C165" s="2" t="n"/>
      <c r="D165" s="3" t="n"/>
    </row>
    <row r="166">
      <c r="A166" s="2" t="n"/>
      <c r="B166" s="2" t="n"/>
      <c r="C166" s="2" t="n"/>
      <c r="D166" s="3" t="n"/>
    </row>
    <row r="167">
      <c r="A167" s="2" t="n"/>
      <c r="B167" s="2" t="n"/>
      <c r="C167" s="2" t="n"/>
      <c r="D167" s="3" t="n"/>
    </row>
    <row r="168">
      <c r="A168" s="2" t="n"/>
      <c r="B168" s="2" t="n"/>
      <c r="C168" s="2" t="n"/>
      <c r="D168" s="3" t="n"/>
    </row>
    <row r="169">
      <c r="A169" s="2" t="n"/>
      <c r="B169" s="2" t="n"/>
      <c r="C169" s="2" t="n"/>
      <c r="D169" s="3" t="n"/>
    </row>
    <row r="170">
      <c r="A170" s="2" t="n"/>
      <c r="B170" s="2" t="n"/>
      <c r="C170" s="2" t="n"/>
      <c r="D170" s="3" t="n"/>
    </row>
    <row r="171">
      <c r="A171" s="2" t="n"/>
      <c r="B171" s="2" t="n"/>
      <c r="C171" s="2" t="n"/>
      <c r="D171" s="3" t="n"/>
    </row>
    <row r="172">
      <c r="A172" s="2" t="n"/>
      <c r="B172" s="2" t="n"/>
      <c r="C172" s="2" t="n"/>
      <c r="D172" s="3" t="n"/>
    </row>
    <row r="173">
      <c r="A173" s="2" t="n"/>
      <c r="B173" s="2" t="n"/>
      <c r="C173" s="2" t="n"/>
      <c r="D173" s="3" t="n"/>
    </row>
    <row r="174">
      <c r="A174" s="2" t="n"/>
      <c r="B174" s="2" t="n"/>
      <c r="C174" s="2" t="n"/>
      <c r="D174" s="3" t="n"/>
    </row>
    <row r="175">
      <c r="A175" s="2" t="n"/>
      <c r="B175" s="2" t="n"/>
      <c r="C175" s="2" t="n"/>
      <c r="D175" s="3" t="n"/>
    </row>
    <row r="176">
      <c r="A176" s="2" t="n"/>
      <c r="B176" s="2" t="n"/>
      <c r="C176" s="2" t="n"/>
      <c r="D176" s="3" t="n"/>
    </row>
    <row r="177">
      <c r="A177" s="2" t="n"/>
      <c r="B177" s="2" t="n"/>
      <c r="C177" s="2" t="n"/>
      <c r="D177" s="3" t="n"/>
    </row>
    <row r="178">
      <c r="A178" s="2" t="n"/>
      <c r="B178" s="2" t="n"/>
      <c r="C178" s="2" t="n"/>
      <c r="D178" s="3" t="n"/>
    </row>
    <row r="179">
      <c r="A179" s="2" t="n"/>
      <c r="B179" s="2" t="n"/>
      <c r="C179" s="2" t="n"/>
      <c r="D179" s="3" t="n"/>
    </row>
    <row r="180">
      <c r="A180" s="2" t="n"/>
      <c r="B180" s="2" t="n"/>
      <c r="C180" s="2" t="n"/>
      <c r="D180" s="3" t="n"/>
    </row>
    <row r="181">
      <c r="A181" s="2" t="n"/>
      <c r="B181" s="2" t="n"/>
      <c r="C181" s="2" t="n"/>
      <c r="D181" s="3" t="n"/>
    </row>
    <row r="182">
      <c r="A182" s="2" t="n"/>
      <c r="B182" s="2" t="n"/>
      <c r="C182" s="2" t="n"/>
      <c r="D182" s="3" t="n"/>
    </row>
    <row r="183">
      <c r="A183" s="2" t="n"/>
      <c r="B183" s="2" t="n"/>
      <c r="C183" s="2" t="n"/>
      <c r="D183" s="3" t="n"/>
    </row>
    <row r="184">
      <c r="A184" s="2" t="n"/>
      <c r="B184" s="2" t="n"/>
      <c r="C184" s="2" t="n"/>
      <c r="D184" s="3" t="n"/>
    </row>
    <row r="185">
      <c r="A185" s="2" t="n"/>
      <c r="B185" s="2" t="n"/>
      <c r="C185" s="2" t="n"/>
      <c r="D185" s="3" t="n"/>
    </row>
    <row r="186">
      <c r="A186" s="2" t="n"/>
      <c r="B186" s="2" t="n"/>
      <c r="C186" s="2" t="n"/>
      <c r="D186" s="3" t="n"/>
    </row>
    <row r="187">
      <c r="A187" s="2" t="n"/>
      <c r="B187" s="2" t="n"/>
      <c r="C187" s="2" t="n"/>
      <c r="D187" s="3" t="n"/>
    </row>
    <row r="188">
      <c r="A188" s="2" t="n"/>
      <c r="B188" s="2" t="n"/>
      <c r="C188" s="2" t="n"/>
      <c r="D188" s="3" t="n"/>
    </row>
    <row r="189">
      <c r="A189" s="2" t="n"/>
      <c r="B189" s="2" t="n"/>
      <c r="C189" s="2" t="n"/>
      <c r="D189" s="3" t="n"/>
    </row>
    <row r="190">
      <c r="A190" s="2" t="n"/>
      <c r="B190" s="2" t="n"/>
      <c r="C190" s="2" t="n"/>
      <c r="D190" s="3" t="n"/>
    </row>
    <row r="191">
      <c r="A191" s="2" t="n"/>
      <c r="B191" s="2" t="n"/>
      <c r="C191" s="2" t="n"/>
      <c r="D191" s="3" t="n"/>
    </row>
    <row r="192">
      <c r="A192" s="2" t="n"/>
      <c r="B192" s="2" t="n"/>
      <c r="C192" s="2" t="n"/>
      <c r="D192" s="3" t="n"/>
    </row>
    <row r="193">
      <c r="A193" s="2" t="n"/>
      <c r="B193" s="2" t="n"/>
      <c r="C193" s="2" t="n"/>
      <c r="D193" s="3" t="n"/>
    </row>
    <row r="194">
      <c r="A194" s="2" t="n"/>
      <c r="B194" s="2" t="n"/>
      <c r="C194" s="2" t="n"/>
      <c r="D194" s="3" t="n"/>
    </row>
    <row r="195">
      <c r="A195" s="2" t="n"/>
      <c r="B195" s="2" t="n"/>
      <c r="C195" s="2" t="n"/>
      <c r="D195" s="3" t="n"/>
    </row>
    <row r="196">
      <c r="A196" s="2" t="n"/>
      <c r="B196" s="2" t="n"/>
      <c r="C196" s="2" t="n"/>
      <c r="D196" s="3" t="n"/>
    </row>
    <row r="197">
      <c r="A197" s="2" t="n"/>
      <c r="B197" s="2" t="n"/>
      <c r="C197" s="2" t="n"/>
      <c r="D197" s="3" t="n"/>
    </row>
    <row r="198">
      <c r="A198" s="2" t="n"/>
      <c r="B198" s="2" t="n"/>
      <c r="C198" s="2" t="n"/>
      <c r="D198" s="3" t="n"/>
    </row>
    <row r="199">
      <c r="A199" s="2" t="n"/>
      <c r="B199" s="2" t="n"/>
      <c r="C199" s="2" t="n"/>
      <c r="D199" s="3" t="n"/>
    </row>
    <row r="200">
      <c r="A200" s="2" t="n"/>
      <c r="B200" s="2" t="n"/>
      <c r="C200" s="2" t="n"/>
      <c r="D200" s="3" t="n"/>
    </row>
    <row r="201">
      <c r="A201" s="2" t="n"/>
      <c r="B201" s="2" t="n"/>
      <c r="C201" s="2" t="n"/>
      <c r="D201" s="3" t="n"/>
    </row>
    <row r="202">
      <c r="A202" s="2" t="n"/>
      <c r="B202" s="2" t="n"/>
      <c r="C202" s="2" t="n"/>
      <c r="D202" s="3" t="n"/>
    </row>
    <row r="203">
      <c r="A203" s="2" t="n"/>
      <c r="B203" s="2" t="n"/>
      <c r="C203" s="2" t="n"/>
      <c r="D203" s="3" t="n"/>
    </row>
    <row r="204">
      <c r="A204" s="2" t="n"/>
      <c r="B204" s="2" t="n"/>
      <c r="C204" s="2" t="n"/>
      <c r="D204" s="3" t="n"/>
    </row>
    <row r="205">
      <c r="A205" s="2" t="n"/>
      <c r="B205" s="2" t="n"/>
      <c r="C205" s="2" t="n"/>
      <c r="D205" s="3" t="n"/>
    </row>
    <row r="206">
      <c r="A206" s="2" t="n"/>
      <c r="B206" s="2" t="n"/>
      <c r="C206" s="2" t="n"/>
      <c r="D206" s="3" t="n"/>
    </row>
    <row r="207">
      <c r="A207" s="2" t="n"/>
      <c r="B207" s="2" t="n"/>
      <c r="C207" s="2" t="n"/>
      <c r="D207" s="3" t="n"/>
    </row>
    <row r="208">
      <c r="A208" s="2" t="n"/>
      <c r="B208" s="2" t="n"/>
      <c r="C208" s="2" t="n"/>
      <c r="D208" s="3" t="n"/>
    </row>
    <row r="209">
      <c r="A209" s="2" t="n"/>
      <c r="B209" s="2" t="n"/>
      <c r="C209" s="2" t="n"/>
      <c r="D209" s="3" t="n"/>
    </row>
    <row r="210">
      <c r="A210" s="2" t="n"/>
      <c r="B210" s="2" t="n"/>
      <c r="C210" s="2" t="n"/>
      <c r="D210" s="3" t="n"/>
    </row>
    <row r="211">
      <c r="A211" s="2" t="n"/>
      <c r="B211" s="2" t="n"/>
      <c r="C211" s="2" t="n"/>
      <c r="D211" s="3" t="n"/>
    </row>
    <row r="212">
      <c r="A212" s="2" t="n"/>
      <c r="B212" s="2" t="n"/>
      <c r="C212" s="2" t="n"/>
      <c r="D212" s="3" t="n"/>
    </row>
    <row r="213">
      <c r="A213" s="2" t="n"/>
      <c r="B213" s="2" t="n"/>
      <c r="C213" s="2" t="n"/>
      <c r="D213" s="3" t="n"/>
    </row>
    <row r="214">
      <c r="A214" s="2" t="n"/>
      <c r="B214" s="2" t="n"/>
      <c r="C214" s="2" t="n"/>
      <c r="D214" s="3" t="n"/>
    </row>
    <row r="215">
      <c r="A215" s="2" t="n"/>
      <c r="B215" s="2" t="n"/>
      <c r="C215" s="2" t="n"/>
      <c r="D215" s="3" t="n"/>
    </row>
    <row r="216">
      <c r="A216" s="2" t="n"/>
      <c r="B216" s="2" t="n"/>
      <c r="C216" s="2" t="n"/>
      <c r="D216" s="3" t="n"/>
    </row>
    <row r="217">
      <c r="A217" s="2" t="n"/>
      <c r="B217" s="2" t="n"/>
      <c r="C217" s="2" t="n"/>
      <c r="D217" s="3" t="n"/>
    </row>
    <row r="218">
      <c r="A218" s="2" t="n"/>
      <c r="B218" s="2" t="n"/>
      <c r="C218" s="2" t="n"/>
      <c r="D218" s="3" t="n"/>
    </row>
    <row r="219">
      <c r="A219" s="2" t="n"/>
      <c r="B219" s="2" t="n"/>
      <c r="C219" s="2" t="n"/>
      <c r="D219" s="3" t="n"/>
    </row>
    <row r="220">
      <c r="A220" s="2" t="n"/>
      <c r="B220" s="2" t="n"/>
      <c r="C220" s="2" t="n"/>
      <c r="D220" s="3" t="n"/>
    </row>
    <row r="221">
      <c r="A221" s="2" t="n"/>
      <c r="B221" s="2" t="n"/>
      <c r="C221" s="2" t="n"/>
      <c r="D221" s="3" t="n"/>
    </row>
    <row r="222">
      <c r="A222" s="2" t="n"/>
      <c r="B222" s="2" t="n"/>
      <c r="C222" s="2" t="n"/>
      <c r="D222" s="3" t="n"/>
    </row>
    <row r="223">
      <c r="A223" s="2" t="n"/>
      <c r="B223" s="2" t="n"/>
      <c r="C223" s="2" t="n"/>
      <c r="D223" s="3" t="n"/>
    </row>
    <row r="224">
      <c r="A224" s="2" t="n"/>
      <c r="B224" s="2" t="n"/>
      <c r="C224" s="2" t="n"/>
      <c r="D224" s="3" t="n"/>
    </row>
    <row r="225">
      <c r="A225" s="2" t="n"/>
      <c r="B225" s="2" t="n"/>
      <c r="C225" s="2" t="n"/>
      <c r="D225" s="3" t="n"/>
    </row>
    <row r="226">
      <c r="A226" s="2" t="n"/>
      <c r="B226" s="2" t="n"/>
      <c r="C226" s="2" t="n"/>
      <c r="D226" s="3" t="n"/>
    </row>
    <row r="227">
      <c r="A227" s="2" t="n"/>
      <c r="B227" s="2" t="n"/>
      <c r="C227" s="2" t="n"/>
      <c r="D227" s="3" t="n"/>
    </row>
    <row r="228">
      <c r="A228" s="2" t="n"/>
      <c r="B228" s="2" t="n"/>
      <c r="C228" s="2" t="n"/>
      <c r="D228" s="3" t="n"/>
    </row>
    <row r="229">
      <c r="A229" s="2" t="n"/>
      <c r="B229" s="2" t="n"/>
      <c r="C229" s="2" t="n"/>
      <c r="D229" s="3" t="n"/>
    </row>
    <row r="230">
      <c r="A230" s="2" t="n"/>
      <c r="B230" s="2" t="n"/>
      <c r="C230" s="2" t="n"/>
      <c r="D230" s="3" t="n"/>
    </row>
    <row r="231">
      <c r="A231" s="2" t="n"/>
      <c r="B231" s="2" t="n"/>
      <c r="C231" s="2" t="n"/>
      <c r="D231" s="3" t="n"/>
    </row>
    <row r="232">
      <c r="A232" s="2" t="n"/>
      <c r="B232" s="2" t="n"/>
      <c r="C232" s="2" t="n"/>
      <c r="D232" s="3" t="n"/>
    </row>
    <row r="233">
      <c r="A233" s="2" t="n"/>
      <c r="B233" s="2" t="n"/>
      <c r="C233" s="2" t="n"/>
      <c r="D233" s="3" t="n"/>
    </row>
    <row r="234">
      <c r="A234" s="2" t="n"/>
      <c r="B234" s="2" t="n"/>
      <c r="C234" s="2" t="n"/>
      <c r="D234" s="3" t="n"/>
    </row>
    <row r="235">
      <c r="A235" s="2" t="n"/>
      <c r="B235" s="2" t="n"/>
      <c r="C235" s="2" t="n"/>
      <c r="D235" s="3" t="n"/>
    </row>
    <row r="236">
      <c r="A236" s="2" t="n"/>
      <c r="B236" s="2" t="n"/>
      <c r="C236" s="2" t="n"/>
      <c r="D236" s="3" t="n"/>
    </row>
    <row r="237">
      <c r="A237" s="2" t="n"/>
      <c r="B237" s="2" t="n"/>
      <c r="C237" s="2" t="n"/>
      <c r="D237" s="3" t="n"/>
    </row>
    <row r="238">
      <c r="A238" s="2" t="n"/>
      <c r="B238" s="2" t="n"/>
      <c r="C238" s="2" t="n"/>
      <c r="D238" s="3" t="n"/>
    </row>
    <row r="239">
      <c r="A239" s="2" t="n"/>
      <c r="B239" s="2" t="n"/>
      <c r="C239" s="2" t="n"/>
      <c r="D239" s="3" t="n"/>
    </row>
    <row r="240">
      <c r="A240" s="2" t="n"/>
      <c r="B240" s="2" t="n"/>
      <c r="C240" s="2" t="n"/>
      <c r="D240" s="3" t="n"/>
    </row>
    <row r="241">
      <c r="A241" s="2" t="n"/>
      <c r="B241" s="2" t="n"/>
      <c r="C241" s="2" t="n"/>
      <c r="D241" s="3" t="n"/>
    </row>
    <row r="242">
      <c r="A242" s="2" t="n"/>
      <c r="B242" s="2" t="n"/>
      <c r="C242" s="2" t="n"/>
      <c r="D242" s="3" t="n"/>
    </row>
    <row r="243">
      <c r="A243" s="2" t="n"/>
      <c r="B243" s="2" t="n"/>
      <c r="C243" s="2" t="n"/>
      <c r="D243" s="3" t="n"/>
    </row>
    <row r="244">
      <c r="A244" s="2" t="n"/>
      <c r="B244" s="2" t="n"/>
      <c r="C244" s="2" t="n"/>
      <c r="D244" s="3" t="n"/>
    </row>
    <row r="245">
      <c r="A245" s="2" t="n"/>
      <c r="B245" s="2" t="n"/>
      <c r="C245" s="2" t="n"/>
      <c r="D245" s="3" t="n"/>
    </row>
    <row r="246">
      <c r="A246" s="2" t="n"/>
      <c r="B246" s="2" t="n"/>
      <c r="C246" s="2" t="n"/>
      <c r="D246" s="3" t="n"/>
    </row>
    <row r="247">
      <c r="A247" s="2" t="n"/>
      <c r="B247" s="2" t="n"/>
      <c r="C247" s="2" t="n"/>
      <c r="D247" s="3" t="n"/>
    </row>
    <row r="248">
      <c r="A248" s="2" t="n"/>
      <c r="B248" s="2" t="n"/>
      <c r="C248" s="2" t="n"/>
      <c r="D248" s="3" t="n"/>
    </row>
    <row r="249">
      <c r="A249" s="2" t="n"/>
      <c r="B249" s="2" t="n"/>
      <c r="C249" s="2" t="n"/>
      <c r="D249" s="3" t="n"/>
    </row>
    <row r="250">
      <c r="A250" s="2" t="n"/>
      <c r="B250" s="2" t="n"/>
      <c r="C250" s="2" t="n"/>
      <c r="D250" s="3" t="n"/>
    </row>
    <row r="251">
      <c r="A251" s="2" t="n"/>
      <c r="B251" s="2" t="n"/>
      <c r="C251" s="2" t="n"/>
      <c r="D251" s="3" t="n"/>
    </row>
    <row r="252">
      <c r="A252" s="2" t="n"/>
      <c r="B252" s="2" t="n"/>
      <c r="C252" s="2" t="n"/>
      <c r="D252" s="3" t="n"/>
    </row>
    <row r="253">
      <c r="A253" s="2" t="n"/>
      <c r="B253" s="2" t="n"/>
      <c r="C253" s="2" t="n"/>
      <c r="D253" s="3" t="n"/>
    </row>
    <row r="254">
      <c r="A254" s="2" t="n"/>
      <c r="B254" s="2" t="n"/>
      <c r="C254" s="2" t="n"/>
      <c r="D254" s="3" t="n"/>
    </row>
    <row r="255">
      <c r="A255" s="2" t="n"/>
      <c r="B255" s="2" t="n"/>
      <c r="C255" s="2" t="n"/>
      <c r="D255" s="3" t="n"/>
    </row>
    <row r="256">
      <c r="A256" s="2" t="n"/>
      <c r="B256" s="2" t="n"/>
      <c r="C256" s="2" t="n"/>
      <c r="D256" s="3" t="n"/>
    </row>
    <row r="257">
      <c r="A257" s="2" t="n"/>
      <c r="B257" s="2" t="n"/>
      <c r="C257" s="2" t="n"/>
      <c r="D257" s="3" t="n"/>
    </row>
    <row r="258">
      <c r="A258" s="2" t="n"/>
      <c r="B258" s="2" t="n"/>
      <c r="C258" s="2" t="n"/>
      <c r="D258" s="3" t="n"/>
    </row>
    <row r="259">
      <c r="A259" s="2" t="n"/>
      <c r="B259" s="2" t="n"/>
      <c r="C259" s="2" t="n"/>
      <c r="D259" s="3" t="n"/>
    </row>
    <row r="260">
      <c r="A260" s="2" t="n"/>
      <c r="B260" s="2" t="n"/>
      <c r="C260" s="2" t="n"/>
      <c r="D260" s="3" t="n"/>
    </row>
    <row r="261">
      <c r="A261" s="2" t="n"/>
      <c r="B261" s="2" t="n"/>
      <c r="C261" s="2" t="n"/>
      <c r="D261" s="3" t="n"/>
    </row>
    <row r="262">
      <c r="A262" s="2" t="n"/>
      <c r="B262" s="2" t="n"/>
      <c r="C262" s="2" t="n"/>
      <c r="D262" s="3" t="n"/>
    </row>
    <row r="263">
      <c r="A263" s="2" t="n"/>
      <c r="B263" s="2" t="n"/>
      <c r="C263" s="2" t="n"/>
      <c r="D263" s="3" t="n"/>
    </row>
    <row r="264">
      <c r="A264" s="2" t="n"/>
      <c r="B264" s="2" t="n"/>
      <c r="C264" s="2" t="n"/>
      <c r="D264" s="3" t="n"/>
    </row>
    <row r="265">
      <c r="A265" s="2" t="n"/>
      <c r="B265" s="2" t="n"/>
      <c r="C265" s="2" t="n"/>
      <c r="D265" s="3" t="n"/>
    </row>
    <row r="266">
      <c r="A266" s="2" t="n"/>
      <c r="B266" s="2" t="n"/>
      <c r="C266" s="2" t="n"/>
      <c r="D266" s="3" t="n"/>
    </row>
    <row r="267">
      <c r="A267" s="2" t="n"/>
      <c r="B267" s="2" t="n"/>
      <c r="C267" s="2" t="n"/>
      <c r="D267" s="3" t="n"/>
    </row>
    <row r="268">
      <c r="A268" s="2" t="n"/>
      <c r="B268" s="2" t="n"/>
      <c r="C268" s="2" t="n"/>
      <c r="D268" s="3" t="n"/>
    </row>
    <row r="269">
      <c r="A269" s="2" t="n"/>
      <c r="B269" s="2" t="n"/>
      <c r="C269" s="2" t="n"/>
      <c r="D269" s="3" t="n"/>
    </row>
    <row r="270">
      <c r="A270" s="2" t="n"/>
      <c r="B270" s="2" t="n"/>
      <c r="C270" s="2" t="n"/>
      <c r="D270" s="3" t="n"/>
    </row>
    <row r="271">
      <c r="A271" s="2" t="n"/>
      <c r="B271" s="2" t="n"/>
      <c r="C271" s="2" t="n"/>
      <c r="D271" s="3" t="n"/>
    </row>
    <row r="272">
      <c r="A272" s="2" t="n"/>
      <c r="B272" s="2" t="n"/>
      <c r="C272" s="2" t="n"/>
      <c r="D272" s="3" t="n"/>
    </row>
    <row r="273">
      <c r="A273" s="2" t="n"/>
      <c r="B273" s="2" t="n"/>
      <c r="C273" s="2" t="n"/>
      <c r="D273" s="3" t="n"/>
    </row>
    <row r="274">
      <c r="A274" s="2" t="n"/>
      <c r="B274" s="2" t="n"/>
      <c r="C274" s="2" t="n"/>
      <c r="D274" s="3" t="n"/>
    </row>
    <row r="275">
      <c r="A275" s="2" t="n"/>
      <c r="B275" s="2" t="n"/>
      <c r="C275" s="2" t="n"/>
      <c r="D275" s="3" t="n"/>
    </row>
    <row r="276">
      <c r="A276" s="2" t="n"/>
      <c r="B276" s="2" t="n"/>
      <c r="C276" s="2" t="n"/>
      <c r="D276" s="3" t="n"/>
    </row>
    <row r="277">
      <c r="A277" s="2" t="n"/>
      <c r="B277" s="2" t="n"/>
      <c r="C277" s="2" t="n"/>
      <c r="D277" s="3" t="n"/>
    </row>
    <row r="278">
      <c r="A278" s="2" t="n"/>
      <c r="B278" s="2" t="n"/>
      <c r="C278" s="2" t="n"/>
      <c r="D278" s="3" t="n"/>
    </row>
    <row r="279">
      <c r="A279" s="2" t="n"/>
      <c r="B279" s="2" t="n"/>
      <c r="C279" s="2" t="n"/>
      <c r="D279" s="3" t="n"/>
    </row>
    <row r="280">
      <c r="A280" s="2" t="n"/>
      <c r="B280" s="2" t="n"/>
      <c r="C280" s="2" t="n"/>
      <c r="D280" s="3" t="n"/>
    </row>
    <row r="281">
      <c r="A281" s="2" t="n"/>
      <c r="B281" s="2" t="n"/>
      <c r="C281" s="2" t="n"/>
      <c r="D281" s="3" t="n"/>
    </row>
    <row r="282">
      <c r="A282" s="2" t="n"/>
      <c r="B282" s="2" t="n"/>
      <c r="C282" s="2" t="n"/>
      <c r="D282" s="3" t="n"/>
    </row>
    <row r="283">
      <c r="A283" s="2" t="n"/>
      <c r="B283" s="2" t="n"/>
      <c r="C283" s="2" t="n"/>
      <c r="D283" s="3" t="n"/>
    </row>
    <row r="284">
      <c r="A284" s="2" t="n"/>
      <c r="B284" s="2" t="n"/>
      <c r="C284" s="2" t="n"/>
      <c r="D284" s="3" t="n"/>
    </row>
    <row r="285">
      <c r="A285" s="2" t="n"/>
      <c r="B285" s="2" t="n"/>
      <c r="C285" s="2" t="n"/>
      <c r="D285" s="3" t="n"/>
    </row>
    <row r="286">
      <c r="A286" s="2" t="n"/>
      <c r="B286" s="2" t="n"/>
      <c r="C286" s="2" t="n"/>
      <c r="D286" s="3" t="n"/>
    </row>
    <row r="287">
      <c r="A287" s="2" t="n"/>
      <c r="B287" s="2" t="n"/>
      <c r="C287" s="2" t="n"/>
      <c r="D287" s="3" t="n"/>
    </row>
    <row r="288">
      <c r="A288" s="2" t="n"/>
      <c r="B288" s="2" t="n"/>
      <c r="C288" s="2" t="n"/>
      <c r="D288" s="3" t="n"/>
    </row>
    <row r="289">
      <c r="A289" s="2" t="n"/>
      <c r="B289" s="2" t="n"/>
      <c r="C289" s="2" t="n"/>
      <c r="D289" s="3" t="n"/>
    </row>
    <row r="290">
      <c r="A290" s="2" t="n"/>
      <c r="B290" s="2" t="n"/>
      <c r="C290" s="2" t="n"/>
      <c r="D290" s="3" t="n"/>
    </row>
    <row r="291">
      <c r="A291" s="2" t="n"/>
      <c r="B291" s="2" t="n"/>
      <c r="C291" s="2" t="n"/>
      <c r="D291" s="3" t="n"/>
    </row>
    <row r="292">
      <c r="A292" s="2" t="n"/>
      <c r="B292" s="2" t="n"/>
      <c r="C292" s="2" t="n"/>
      <c r="D292" s="3" t="n"/>
    </row>
    <row r="293">
      <c r="A293" s="2" t="n"/>
      <c r="B293" s="2" t="n"/>
      <c r="C293" s="2" t="n"/>
      <c r="D293" s="3" t="n"/>
    </row>
    <row r="294">
      <c r="A294" s="2" t="n"/>
      <c r="B294" s="2" t="n"/>
      <c r="C294" s="2" t="n"/>
      <c r="D294" s="3" t="n"/>
    </row>
    <row r="295">
      <c r="A295" s="2" t="n"/>
      <c r="B295" s="2" t="n"/>
      <c r="C295" s="2" t="n"/>
      <c r="D295" s="3" t="n"/>
    </row>
    <row r="296">
      <c r="A296" s="2" t="n"/>
      <c r="B296" s="2" t="n"/>
      <c r="C296" s="2" t="n"/>
      <c r="D296" s="3" t="n"/>
    </row>
    <row r="297">
      <c r="A297" s="2" t="n"/>
      <c r="B297" s="2" t="n"/>
      <c r="C297" s="2" t="n"/>
      <c r="D297" s="3" t="n"/>
    </row>
    <row r="298">
      <c r="A298" s="2" t="n"/>
      <c r="B298" s="2" t="n"/>
      <c r="C298" s="2" t="n"/>
      <c r="D298" s="3" t="n"/>
    </row>
    <row r="299">
      <c r="A299" s="2" t="n"/>
      <c r="B299" s="2" t="n"/>
      <c r="C299" s="2" t="n"/>
      <c r="D299" s="3" t="n"/>
    </row>
    <row r="300">
      <c r="A300" s="2" t="n"/>
      <c r="B300" s="2" t="n"/>
      <c r="C300" s="2" t="n"/>
      <c r="D300" s="3" t="n"/>
    </row>
    <row r="301">
      <c r="A301" s="2" t="n"/>
      <c r="B301" s="2" t="n"/>
      <c r="C301" s="2" t="n"/>
      <c r="D301" s="3" t="n"/>
    </row>
    <row r="302">
      <c r="A302" s="2" t="n"/>
      <c r="B302" s="2" t="n"/>
      <c r="C302" s="2" t="n"/>
      <c r="D302" s="3" t="n"/>
    </row>
    <row r="303">
      <c r="A303" s="2" t="n"/>
      <c r="B303" s="2" t="n"/>
      <c r="C303" s="2" t="n"/>
      <c r="D303" s="3" t="n"/>
    </row>
    <row r="304">
      <c r="A304" s="2" t="n"/>
      <c r="B304" s="2" t="n"/>
      <c r="C304" s="2" t="n"/>
      <c r="D304" s="3" t="n"/>
    </row>
    <row r="305">
      <c r="A305" s="2" t="n"/>
      <c r="B305" s="2" t="n"/>
      <c r="C305" s="2" t="n"/>
      <c r="D305" s="3" t="n"/>
    </row>
    <row r="306">
      <c r="A306" s="2" t="n"/>
      <c r="B306" s="2" t="n"/>
      <c r="C306" s="2" t="n"/>
      <c r="D306" s="3" t="n"/>
    </row>
    <row r="307">
      <c r="A307" s="2" t="n"/>
      <c r="B307" s="2" t="n"/>
      <c r="C307" s="2" t="n"/>
      <c r="D307" s="3" t="n"/>
    </row>
    <row r="308">
      <c r="A308" s="2" t="n"/>
      <c r="B308" s="2" t="n"/>
      <c r="C308" s="2" t="n"/>
      <c r="D308" s="3" t="n"/>
    </row>
    <row r="309">
      <c r="A309" s="2" t="n"/>
      <c r="B309" s="2" t="n"/>
      <c r="C309" s="2" t="n"/>
      <c r="D309" s="3" t="n"/>
    </row>
    <row r="310">
      <c r="A310" s="2" t="n"/>
      <c r="B310" s="2" t="n"/>
      <c r="C310" s="2" t="n"/>
      <c r="D310" s="3" t="n"/>
    </row>
    <row r="311">
      <c r="A311" s="2" t="n"/>
      <c r="B311" s="2" t="n"/>
      <c r="C311" s="2" t="n"/>
      <c r="D311" s="3" t="n"/>
    </row>
    <row r="312">
      <c r="A312" s="2" t="n"/>
      <c r="B312" s="2" t="n"/>
      <c r="C312" s="2" t="n"/>
      <c r="D312" s="3" t="n"/>
    </row>
    <row r="313">
      <c r="A313" s="2" t="n"/>
      <c r="B313" s="2" t="n"/>
      <c r="C313" s="2" t="n"/>
      <c r="D313" s="3" t="n"/>
    </row>
    <row r="314">
      <c r="A314" s="2" t="n"/>
      <c r="B314" s="2" t="n"/>
      <c r="C314" s="2" t="n"/>
      <c r="D314" s="3" t="n"/>
    </row>
    <row r="315">
      <c r="A315" s="2" t="n"/>
      <c r="B315" s="2" t="n"/>
      <c r="C315" s="2" t="n"/>
      <c r="D315" s="3" t="n"/>
    </row>
    <row r="316">
      <c r="A316" s="2" t="n"/>
      <c r="B316" s="2" t="n"/>
      <c r="C316" s="2" t="n"/>
      <c r="D316" s="3" t="n"/>
    </row>
    <row r="317">
      <c r="A317" s="2" t="n"/>
      <c r="B317" s="2" t="n"/>
      <c r="C317" s="2" t="n"/>
      <c r="D317" s="3" t="n"/>
    </row>
    <row r="318">
      <c r="A318" s="2" t="n"/>
      <c r="B318" s="2" t="n"/>
      <c r="C318" s="2" t="n"/>
      <c r="D318" s="3" t="n"/>
    </row>
    <row r="319">
      <c r="A319" s="2" t="n"/>
      <c r="B319" s="2" t="n"/>
      <c r="C319" s="2" t="n"/>
      <c r="D319" s="3" t="n"/>
    </row>
    <row r="320">
      <c r="A320" s="2" t="n"/>
      <c r="B320" s="2" t="n"/>
      <c r="C320" s="2" t="n"/>
      <c r="D320" s="3" t="n"/>
    </row>
    <row r="321">
      <c r="A321" s="2" t="n"/>
      <c r="B321" s="2" t="n"/>
      <c r="C321" s="2" t="n"/>
      <c r="D321" s="3" t="n"/>
    </row>
    <row r="322">
      <c r="A322" s="2" t="n"/>
      <c r="B322" s="2" t="n"/>
      <c r="C322" s="2" t="n"/>
      <c r="D322" s="3" t="n"/>
    </row>
    <row r="323">
      <c r="A323" s="2" t="n"/>
      <c r="B323" s="2" t="n"/>
      <c r="C323" s="2" t="n"/>
      <c r="D323" s="3" t="n"/>
    </row>
    <row r="324">
      <c r="A324" s="2" t="n"/>
      <c r="B324" s="2" t="n"/>
      <c r="C324" s="2" t="n"/>
      <c r="D324" s="3" t="n"/>
    </row>
    <row r="325">
      <c r="A325" s="2" t="n"/>
      <c r="B325" s="2" t="n"/>
      <c r="C325" s="2" t="n"/>
      <c r="D325" s="3" t="n"/>
    </row>
    <row r="326">
      <c r="A326" s="2" t="n"/>
      <c r="B326" s="2" t="n"/>
      <c r="C326" s="2" t="n"/>
      <c r="D326" s="3" t="n"/>
    </row>
    <row r="327">
      <c r="A327" s="2" t="n"/>
      <c r="B327" s="2" t="n"/>
      <c r="C327" s="2" t="n"/>
      <c r="D327" s="3" t="n"/>
    </row>
    <row r="328">
      <c r="A328" s="2" t="n"/>
      <c r="B328" s="2" t="n"/>
      <c r="C328" s="2" t="n"/>
      <c r="D328" s="3" t="n"/>
    </row>
    <row r="329">
      <c r="A329" s="2" t="n"/>
      <c r="B329" s="2" t="n"/>
      <c r="C329" s="2" t="n"/>
      <c r="D329" s="3" t="n"/>
    </row>
    <row r="330">
      <c r="A330" s="2" t="n"/>
      <c r="B330" s="2" t="n"/>
      <c r="C330" s="2" t="n"/>
      <c r="D330" s="3" t="n"/>
    </row>
    <row r="331">
      <c r="A331" s="2" t="n"/>
      <c r="B331" s="2" t="n"/>
      <c r="C331" s="2" t="n"/>
      <c r="D331" s="3" t="n"/>
    </row>
    <row r="332">
      <c r="A332" s="2" t="n"/>
      <c r="B332" s="2" t="n"/>
      <c r="C332" s="2" t="n"/>
      <c r="D332" s="3" t="n"/>
    </row>
    <row r="333">
      <c r="A333" s="2" t="n"/>
      <c r="B333" s="2" t="n"/>
      <c r="C333" s="2" t="n"/>
      <c r="D333" s="3" t="n"/>
    </row>
    <row r="334">
      <c r="A334" s="2" t="n"/>
      <c r="B334" s="2" t="n"/>
      <c r="C334" s="2" t="n"/>
      <c r="D334" s="3" t="n"/>
    </row>
    <row r="335">
      <c r="A335" s="2" t="n"/>
      <c r="B335" s="2" t="n"/>
      <c r="C335" s="2" t="n"/>
      <c r="D335" s="3" t="n"/>
    </row>
    <row r="336">
      <c r="A336" s="2" t="n"/>
      <c r="B336" s="2" t="n"/>
      <c r="C336" s="2" t="n"/>
      <c r="D336" s="3" t="n"/>
    </row>
    <row r="337">
      <c r="A337" s="2" t="n"/>
      <c r="B337" s="2" t="n"/>
      <c r="C337" s="2" t="n"/>
      <c r="D337" s="3" t="n"/>
    </row>
    <row r="338">
      <c r="A338" s="2" t="n"/>
      <c r="B338" s="2" t="n"/>
      <c r="C338" s="2" t="n"/>
      <c r="D338" s="3" t="n"/>
    </row>
    <row r="339">
      <c r="A339" s="2" t="n"/>
      <c r="B339" s="2" t="n"/>
      <c r="C339" s="2" t="n"/>
      <c r="D339" s="3" t="n"/>
    </row>
    <row r="340">
      <c r="A340" s="2" t="n"/>
      <c r="B340" s="2" t="n"/>
      <c r="C340" s="2" t="n"/>
      <c r="D340" s="3" t="n"/>
    </row>
    <row r="341">
      <c r="A341" s="2" t="n"/>
      <c r="B341" s="2" t="n"/>
      <c r="C341" s="2" t="n"/>
      <c r="D341" s="3" t="n"/>
    </row>
    <row r="342">
      <c r="A342" s="2" t="n"/>
      <c r="B342" s="2" t="n"/>
      <c r="C342" s="2" t="n"/>
      <c r="D342" s="3" t="n"/>
    </row>
    <row r="343">
      <c r="A343" s="2" t="n"/>
      <c r="B343" s="2" t="n"/>
      <c r="C343" s="2" t="n"/>
      <c r="D343" s="3" t="n"/>
    </row>
    <row r="344">
      <c r="A344" s="2" t="n"/>
      <c r="B344" s="2" t="n"/>
      <c r="C344" s="2" t="n"/>
      <c r="D344" s="3" t="n"/>
    </row>
    <row r="345">
      <c r="A345" s="2" t="n"/>
      <c r="B345" s="2" t="n"/>
      <c r="C345" s="2" t="n"/>
      <c r="D345" s="3" t="n"/>
    </row>
    <row r="346">
      <c r="A346" s="2" t="n"/>
      <c r="B346" s="2" t="n"/>
      <c r="C346" s="2" t="n"/>
      <c r="D346" s="3" t="n"/>
    </row>
    <row r="347">
      <c r="A347" s="2" t="n"/>
      <c r="B347" s="2" t="n"/>
      <c r="C347" s="2" t="n"/>
      <c r="D347" s="3" t="n"/>
    </row>
    <row r="348">
      <c r="A348" s="2" t="n"/>
      <c r="B348" s="2" t="n"/>
      <c r="C348" s="2" t="n"/>
      <c r="D348" s="3" t="n"/>
    </row>
    <row r="349">
      <c r="A349" s="2" t="n"/>
      <c r="B349" s="2" t="n"/>
      <c r="C349" s="2" t="n"/>
      <c r="D349" s="3" t="n"/>
    </row>
    <row r="350">
      <c r="A350" s="2" t="n"/>
      <c r="B350" s="2" t="n"/>
      <c r="C350" s="2" t="n"/>
      <c r="D350" s="3" t="n"/>
    </row>
    <row r="351">
      <c r="A351" s="2" t="n"/>
      <c r="B351" s="2" t="n"/>
      <c r="C351" s="2" t="n"/>
      <c r="D351" s="3" t="n"/>
    </row>
    <row r="352">
      <c r="A352" s="2" t="n"/>
      <c r="B352" s="2" t="n"/>
      <c r="C352" s="2" t="n"/>
      <c r="D352" s="3" t="n"/>
    </row>
    <row r="353">
      <c r="A353" s="2" t="n"/>
      <c r="B353" s="2" t="n"/>
      <c r="C353" s="2" t="n"/>
      <c r="D353" s="3" t="n"/>
    </row>
    <row r="354">
      <c r="A354" s="2" t="n"/>
      <c r="B354" s="2" t="n"/>
      <c r="C354" s="2" t="n"/>
      <c r="D354" s="3" t="n"/>
    </row>
    <row r="355">
      <c r="A355" s="2" t="n"/>
      <c r="B355" s="2" t="n"/>
      <c r="C355" s="2" t="n"/>
      <c r="D355" s="3" t="n"/>
    </row>
    <row r="356">
      <c r="A356" s="2" t="n"/>
      <c r="B356" s="2" t="n"/>
      <c r="C356" s="2" t="n"/>
      <c r="D356" s="3" t="n"/>
    </row>
    <row r="357">
      <c r="A357" s="2" t="n"/>
      <c r="B357" s="2" t="n"/>
      <c r="C357" s="2" t="n"/>
      <c r="D357" s="3" t="n"/>
    </row>
    <row r="358">
      <c r="A358" s="2" t="n"/>
      <c r="B358" s="2" t="n"/>
      <c r="C358" s="2" t="n"/>
      <c r="D358" s="3" t="n"/>
    </row>
    <row r="359">
      <c r="A359" s="2" t="n"/>
      <c r="B359" s="2" t="n"/>
      <c r="C359" s="2" t="n"/>
      <c r="D359" s="3" t="n"/>
    </row>
    <row r="360">
      <c r="A360" s="2" t="n"/>
      <c r="B360" s="2" t="n"/>
      <c r="C360" s="2" t="n"/>
      <c r="D360" s="3" t="n"/>
    </row>
    <row r="361">
      <c r="A361" s="2" t="n"/>
      <c r="B361" s="2" t="n"/>
      <c r="C361" s="2" t="n"/>
      <c r="D361" s="3" t="n"/>
    </row>
    <row r="362">
      <c r="A362" s="2" t="n"/>
      <c r="B362" s="2" t="n"/>
      <c r="C362" s="2" t="n"/>
      <c r="D362" s="3" t="n"/>
    </row>
    <row r="363">
      <c r="A363" s="2" t="n"/>
      <c r="B363" s="2" t="n"/>
      <c r="C363" s="2" t="n"/>
      <c r="D363" s="3" t="n"/>
    </row>
    <row r="364">
      <c r="A364" s="2" t="n"/>
      <c r="B364" s="2" t="n"/>
      <c r="C364" s="2" t="n"/>
      <c r="D364" s="3" t="n"/>
    </row>
    <row r="365">
      <c r="A365" s="2" t="n"/>
      <c r="B365" s="2" t="n"/>
      <c r="C365" s="2" t="n"/>
      <c r="D365" s="3" t="n"/>
    </row>
    <row r="366">
      <c r="A366" s="2" t="n"/>
      <c r="B366" s="2" t="n"/>
      <c r="C366" s="2" t="n"/>
      <c r="D366" s="3" t="n"/>
    </row>
    <row r="367">
      <c r="A367" s="2" t="n"/>
      <c r="B367" s="2" t="n"/>
      <c r="C367" s="2" t="n"/>
      <c r="D367" s="3" t="n"/>
    </row>
    <row r="368">
      <c r="A368" s="2" t="n"/>
      <c r="B368" s="2" t="n"/>
      <c r="C368" s="2" t="n"/>
      <c r="D368" s="3" t="n"/>
    </row>
    <row r="369">
      <c r="A369" s="2" t="n"/>
      <c r="B369" s="2" t="n"/>
      <c r="C369" s="2" t="n"/>
      <c r="D369" s="3" t="n"/>
    </row>
    <row r="370">
      <c r="A370" s="2" t="n"/>
      <c r="B370" s="2" t="n"/>
      <c r="C370" s="2" t="n"/>
      <c r="D370" s="3" t="n"/>
    </row>
    <row r="371">
      <c r="A371" s="2" t="n"/>
      <c r="B371" s="2" t="n"/>
      <c r="C371" s="2" t="n"/>
      <c r="D371" s="3" t="n"/>
    </row>
    <row r="372">
      <c r="A372" s="2" t="n"/>
      <c r="B372" s="2" t="n"/>
      <c r="C372" s="2" t="n"/>
      <c r="D372" s="3" t="n"/>
    </row>
    <row r="373">
      <c r="A373" s="2" t="n"/>
      <c r="B373" s="2" t="n"/>
      <c r="C373" s="2" t="n"/>
      <c r="D373" s="3" t="n"/>
    </row>
    <row r="374">
      <c r="A374" s="2" t="n"/>
      <c r="B374" s="2" t="n"/>
      <c r="C374" s="2" t="n"/>
      <c r="D374" s="3" t="n"/>
    </row>
    <row r="375">
      <c r="A375" s="2" t="n"/>
      <c r="B375" s="2" t="n"/>
      <c r="C375" s="2" t="n"/>
      <c r="D375" s="3" t="n"/>
    </row>
    <row r="376">
      <c r="A376" s="2" t="n"/>
      <c r="B376" s="2" t="n"/>
      <c r="C376" s="2" t="n"/>
      <c r="D376" s="3" t="n"/>
    </row>
    <row r="377">
      <c r="A377" s="2" t="n"/>
      <c r="B377" s="2" t="n"/>
      <c r="C377" s="2" t="n"/>
      <c r="D377" s="3" t="n"/>
    </row>
    <row r="378">
      <c r="A378" s="2" t="n"/>
      <c r="B378" s="2" t="n"/>
      <c r="C378" s="2" t="n"/>
      <c r="D378" s="3" t="n"/>
    </row>
    <row r="379">
      <c r="A379" s="2" t="n"/>
      <c r="B379" s="2" t="n"/>
      <c r="C379" s="2" t="n"/>
      <c r="D379" s="3" t="n"/>
    </row>
    <row r="380">
      <c r="A380" s="2" t="n"/>
      <c r="B380" s="2" t="n"/>
      <c r="C380" s="2" t="n"/>
      <c r="D380" s="3" t="n"/>
    </row>
    <row r="381">
      <c r="A381" s="2" t="n"/>
      <c r="B381" s="2" t="n"/>
      <c r="C381" s="2" t="n"/>
      <c r="D381" s="3" t="n"/>
    </row>
    <row r="382">
      <c r="A382" s="2" t="n"/>
      <c r="B382" s="2" t="n"/>
      <c r="C382" s="2" t="n"/>
      <c r="D382" s="3" t="n"/>
    </row>
    <row r="383">
      <c r="A383" s="2" t="n"/>
      <c r="B383" s="2" t="n"/>
      <c r="C383" s="2" t="n"/>
      <c r="D383" s="3" t="n"/>
    </row>
    <row r="384">
      <c r="A384" s="2" t="n"/>
      <c r="B384" s="2" t="n"/>
      <c r="C384" s="2" t="n"/>
      <c r="D384" s="3" t="n"/>
    </row>
    <row r="385">
      <c r="A385" s="2" t="n"/>
      <c r="B385" s="2" t="n"/>
      <c r="C385" s="2" t="n"/>
      <c r="D385" s="3" t="n"/>
    </row>
    <row r="386">
      <c r="A386" s="2" t="n"/>
      <c r="B386" s="2" t="n"/>
      <c r="C386" s="2" t="n"/>
      <c r="D386" s="3" t="n"/>
    </row>
    <row r="387">
      <c r="A387" s="2" t="n"/>
      <c r="B387" s="2" t="n"/>
      <c r="C387" s="2" t="n"/>
      <c r="D387" s="3" t="n"/>
    </row>
    <row r="388">
      <c r="A388" s="2" t="n"/>
      <c r="B388" s="2" t="n"/>
      <c r="C388" s="2" t="n"/>
      <c r="D388" s="3" t="n"/>
    </row>
    <row r="389">
      <c r="A389" s="2" t="n"/>
      <c r="B389" s="2" t="n"/>
      <c r="C389" s="2" t="n"/>
      <c r="D389" s="3" t="n"/>
    </row>
    <row r="390">
      <c r="A390" s="2" t="n"/>
      <c r="B390" s="2" t="n"/>
      <c r="C390" s="2" t="n"/>
      <c r="D390" s="3" t="n"/>
    </row>
    <row r="391">
      <c r="A391" s="2" t="n"/>
      <c r="B391" s="2" t="n"/>
      <c r="C391" s="2" t="n"/>
      <c r="D391" s="3" t="n"/>
    </row>
    <row r="392">
      <c r="A392" s="2" t="n"/>
      <c r="B392" s="2" t="n"/>
      <c r="C392" s="2" t="n"/>
      <c r="D392" s="3" t="n"/>
    </row>
    <row r="393">
      <c r="A393" s="2" t="n"/>
      <c r="B393" s="2" t="n"/>
      <c r="C393" s="2" t="n"/>
      <c r="D393" s="3" t="n"/>
    </row>
    <row r="394">
      <c r="A394" s="2" t="n"/>
      <c r="B394" s="2" t="n"/>
      <c r="C394" s="2" t="n"/>
      <c r="D394" s="3" t="n"/>
    </row>
    <row r="395">
      <c r="A395" s="2" t="n"/>
      <c r="B395" s="2" t="n"/>
      <c r="C395" s="2" t="n"/>
      <c r="D395" s="3" t="n"/>
    </row>
    <row r="396">
      <c r="A396" s="2" t="n"/>
      <c r="B396" s="2" t="n"/>
      <c r="C396" s="2" t="n"/>
      <c r="D396" s="3" t="n"/>
    </row>
    <row r="397">
      <c r="A397" s="2" t="n"/>
      <c r="B397" s="2" t="n"/>
      <c r="C397" s="2" t="n"/>
      <c r="D397" s="3" t="n"/>
    </row>
    <row r="398">
      <c r="A398" s="2" t="n"/>
      <c r="B398" s="2" t="n"/>
      <c r="C398" s="2" t="n"/>
      <c r="D398" s="3" t="n"/>
    </row>
    <row r="399">
      <c r="A399" s="2" t="n"/>
      <c r="B399" s="2" t="n"/>
      <c r="C399" s="2" t="n"/>
      <c r="D399" s="3" t="n"/>
    </row>
    <row r="400">
      <c r="A400" s="2" t="n"/>
      <c r="B400" s="2" t="n"/>
      <c r="C400" s="2" t="n"/>
      <c r="D400" s="3" t="n"/>
    </row>
    <row r="401">
      <c r="A401" s="2" t="n"/>
      <c r="B401" s="2" t="n"/>
      <c r="C401" s="2" t="n"/>
      <c r="D401" s="3" t="n"/>
    </row>
    <row r="402">
      <c r="A402" s="2" t="n"/>
      <c r="B402" s="2" t="n"/>
      <c r="C402" s="2" t="n"/>
      <c r="D402" s="3" t="n"/>
    </row>
    <row r="403">
      <c r="A403" s="2" t="n"/>
      <c r="B403" s="2" t="n"/>
      <c r="C403" s="2" t="n"/>
      <c r="D403" s="3" t="n"/>
    </row>
    <row r="404">
      <c r="A404" s="2" t="n"/>
      <c r="B404" s="2" t="n"/>
      <c r="C404" s="2" t="n"/>
      <c r="D404" s="3" t="n"/>
    </row>
    <row r="405">
      <c r="A405" s="2" t="n"/>
      <c r="B405" s="2" t="n"/>
      <c r="C405" s="2" t="n"/>
      <c r="D405" s="3" t="n"/>
    </row>
    <row r="406">
      <c r="A406" s="2" t="n"/>
      <c r="B406" s="2" t="n"/>
      <c r="C406" s="2" t="n"/>
      <c r="D406" s="3" t="n"/>
    </row>
    <row r="407">
      <c r="A407" s="2" t="n"/>
      <c r="B407" s="2" t="n"/>
      <c r="C407" s="2" t="n"/>
      <c r="D407" s="3" t="n"/>
    </row>
    <row r="408">
      <c r="A408" s="2" t="n"/>
      <c r="B408" s="2" t="n"/>
      <c r="C408" s="2" t="n"/>
      <c r="D408" s="3" t="n"/>
    </row>
    <row r="409">
      <c r="A409" s="2" t="n"/>
      <c r="B409" s="2" t="n"/>
      <c r="C409" s="2" t="n"/>
      <c r="D409" s="3" t="n"/>
    </row>
    <row r="410">
      <c r="A410" s="2" t="n"/>
      <c r="B410" s="2" t="n"/>
      <c r="C410" s="2" t="n"/>
      <c r="D410" s="3" t="n"/>
    </row>
    <row r="411">
      <c r="A411" s="2" t="n"/>
      <c r="B411" s="2" t="n"/>
      <c r="C411" s="2" t="n"/>
      <c r="D411" s="3" t="n"/>
    </row>
    <row r="412">
      <c r="A412" s="2" t="n"/>
      <c r="B412" s="2" t="n"/>
      <c r="C412" s="2" t="n"/>
      <c r="D412" s="3" t="n"/>
    </row>
    <row r="413">
      <c r="A413" s="2" t="n"/>
      <c r="B413" s="2" t="n"/>
      <c r="C413" s="2" t="n"/>
      <c r="D413" s="3" t="n"/>
    </row>
    <row r="414">
      <c r="A414" s="2" t="n"/>
      <c r="B414" s="2" t="n"/>
      <c r="C414" s="2" t="n"/>
      <c r="D414" s="3" t="n"/>
    </row>
    <row r="415">
      <c r="A415" s="2" t="n"/>
      <c r="B415" s="2" t="n"/>
      <c r="C415" s="2" t="n"/>
      <c r="D415" s="3" t="n"/>
    </row>
    <row r="416">
      <c r="A416" s="2" t="n"/>
      <c r="B416" s="2" t="n"/>
      <c r="C416" s="2" t="n"/>
      <c r="D416" s="3" t="n"/>
    </row>
    <row r="417">
      <c r="A417" s="2" t="n"/>
      <c r="B417" s="2" t="n"/>
      <c r="C417" s="2" t="n"/>
      <c r="D417" s="3" t="n"/>
    </row>
    <row r="418">
      <c r="A418" s="2" t="n"/>
      <c r="B418" s="2" t="n"/>
      <c r="C418" s="2" t="n"/>
      <c r="D418" s="3" t="n"/>
    </row>
    <row r="419">
      <c r="A419" s="2" t="n"/>
      <c r="B419" s="2" t="n"/>
      <c r="C419" s="2" t="n"/>
      <c r="D419" s="3" t="n"/>
    </row>
    <row r="420">
      <c r="A420" s="2" t="n"/>
      <c r="B420" s="2" t="n"/>
      <c r="C420" s="2" t="n"/>
      <c r="D420" s="3" t="n"/>
    </row>
    <row r="421">
      <c r="A421" s="2" t="n"/>
      <c r="B421" s="2" t="n"/>
      <c r="C421" s="2" t="n"/>
      <c r="D421" s="3" t="n"/>
    </row>
    <row r="422">
      <c r="A422" s="2" t="n"/>
      <c r="B422" s="2" t="n"/>
      <c r="C422" s="2" t="n"/>
      <c r="D422" s="3" t="n"/>
    </row>
    <row r="423">
      <c r="A423" s="2" t="n"/>
      <c r="B423" s="2" t="n"/>
      <c r="C423" s="2" t="n"/>
      <c r="D423" s="3" t="n"/>
    </row>
    <row r="424">
      <c r="A424" s="2" t="n"/>
      <c r="B424" s="2" t="n"/>
      <c r="C424" s="2" t="n"/>
      <c r="D424" s="3" t="n"/>
    </row>
    <row r="425">
      <c r="A425" s="2" t="n"/>
      <c r="B425" s="2" t="n"/>
      <c r="C425" s="2" t="n"/>
      <c r="D425" s="3" t="n"/>
    </row>
    <row r="426">
      <c r="A426" s="2" t="n"/>
      <c r="B426" s="2" t="n"/>
      <c r="C426" s="2" t="n"/>
      <c r="D426" s="3" t="n"/>
    </row>
    <row r="427">
      <c r="A427" s="2" t="n"/>
      <c r="B427" s="2" t="n"/>
      <c r="C427" s="2" t="n"/>
      <c r="D427" s="3" t="n"/>
    </row>
    <row r="428">
      <c r="A428" s="2" t="n"/>
      <c r="B428" s="2" t="n"/>
      <c r="C428" s="2" t="n"/>
      <c r="D428" s="3" t="n"/>
    </row>
    <row r="429">
      <c r="A429" s="2" t="n"/>
      <c r="B429" s="2" t="n"/>
      <c r="C429" s="2" t="n"/>
      <c r="D429" s="3" t="n"/>
    </row>
    <row r="430">
      <c r="A430" s="2" t="n"/>
      <c r="B430" s="2" t="n"/>
      <c r="C430" s="2" t="n"/>
      <c r="D430" s="3" t="n"/>
    </row>
    <row r="431">
      <c r="A431" s="2" t="n"/>
      <c r="B431" s="2" t="n"/>
      <c r="C431" s="2" t="n"/>
      <c r="D431" s="3" t="n"/>
    </row>
    <row r="432">
      <c r="A432" s="2" t="n"/>
      <c r="B432" s="2" t="n"/>
      <c r="C432" s="2" t="n"/>
      <c r="D432" s="3" t="n"/>
    </row>
    <row r="433">
      <c r="A433" s="2" t="n"/>
      <c r="B433" s="2" t="n"/>
      <c r="C433" s="2" t="n"/>
      <c r="D433" s="3" t="n"/>
    </row>
    <row r="434">
      <c r="A434" s="2" t="n"/>
      <c r="B434" s="2" t="n"/>
      <c r="C434" s="2" t="n"/>
      <c r="D434" s="3" t="n"/>
    </row>
    <row r="435">
      <c r="A435" s="2" t="n"/>
      <c r="B435" s="2" t="n"/>
      <c r="C435" s="2" t="n"/>
      <c r="D435" s="3" t="n"/>
    </row>
    <row r="436">
      <c r="A436" s="2" t="n"/>
      <c r="B436" s="2" t="n"/>
      <c r="C436" s="2" t="n"/>
      <c r="D436" s="3" t="n"/>
    </row>
    <row r="437">
      <c r="A437" s="2" t="n"/>
      <c r="B437" s="2" t="n"/>
      <c r="C437" s="2" t="n"/>
      <c r="D437" s="3" t="n"/>
    </row>
    <row r="438">
      <c r="A438" s="2" t="n"/>
      <c r="B438" s="2" t="n"/>
      <c r="C438" s="2" t="n"/>
      <c r="D438" s="3" t="n"/>
    </row>
    <row r="439">
      <c r="A439" s="2" t="n"/>
      <c r="B439" s="2" t="n"/>
      <c r="C439" s="2" t="n"/>
      <c r="D439" s="3" t="n"/>
    </row>
    <row r="440">
      <c r="A440" s="2" t="n"/>
      <c r="B440" s="2" t="n"/>
      <c r="C440" s="2" t="n"/>
      <c r="D440" s="3" t="n"/>
    </row>
    <row r="441">
      <c r="A441" s="2" t="n"/>
      <c r="B441" s="2" t="n"/>
      <c r="C441" s="2" t="n"/>
      <c r="D441" s="3" t="n"/>
    </row>
    <row r="442">
      <c r="A442" s="2" t="n"/>
      <c r="B442" s="2" t="n"/>
      <c r="C442" s="2" t="n"/>
      <c r="D442" s="3" t="n"/>
    </row>
    <row r="443">
      <c r="A443" s="2" t="n"/>
      <c r="B443" s="2" t="n"/>
      <c r="C443" s="2" t="n"/>
      <c r="D443" s="3" t="n"/>
    </row>
    <row r="444">
      <c r="A444" s="2" t="n"/>
      <c r="B444" s="2" t="n"/>
      <c r="C444" s="2" t="n"/>
      <c r="D444" s="3" t="n"/>
    </row>
    <row r="445">
      <c r="A445" s="2" t="n"/>
      <c r="B445" s="2" t="n"/>
      <c r="C445" s="2" t="n"/>
      <c r="D445" s="3" t="n"/>
    </row>
    <row r="446">
      <c r="A446" s="2" t="n"/>
      <c r="B446" s="2" t="n"/>
      <c r="C446" s="2" t="n"/>
      <c r="D446" s="3" t="n"/>
    </row>
    <row r="447">
      <c r="A447" s="2" t="n"/>
      <c r="B447" s="2" t="n"/>
      <c r="C447" s="2" t="n"/>
      <c r="D447" s="3" t="n"/>
    </row>
    <row r="448">
      <c r="A448" s="2" t="n"/>
      <c r="B448" s="2" t="n"/>
      <c r="C448" s="2" t="n"/>
      <c r="D448" s="3" t="n"/>
    </row>
    <row r="449">
      <c r="A449" s="2" t="n"/>
      <c r="B449" s="2" t="n"/>
      <c r="C449" s="2" t="n"/>
      <c r="D449" s="3" t="n"/>
    </row>
    <row r="450">
      <c r="A450" s="2" t="n"/>
      <c r="B450" s="2" t="n"/>
      <c r="C450" s="2" t="n"/>
      <c r="D450" s="3" t="n"/>
    </row>
    <row r="451">
      <c r="A451" s="2" t="n"/>
      <c r="B451" s="2" t="n"/>
      <c r="C451" s="2" t="n"/>
      <c r="D451" s="3" t="n"/>
    </row>
    <row r="452">
      <c r="A452" s="2" t="n"/>
      <c r="B452" s="2" t="n"/>
      <c r="C452" s="2" t="n"/>
      <c r="D452" s="3" t="n"/>
    </row>
    <row r="453">
      <c r="A453" s="2" t="n"/>
      <c r="B453" s="2" t="n"/>
      <c r="C453" s="2" t="n"/>
      <c r="D453" s="3" t="n"/>
    </row>
    <row r="454">
      <c r="A454" s="2" t="n"/>
      <c r="B454" s="2" t="n"/>
      <c r="C454" s="2" t="n"/>
      <c r="D454" s="3" t="n"/>
    </row>
    <row r="455">
      <c r="A455" s="2" t="n"/>
      <c r="B455" s="2" t="n"/>
      <c r="C455" s="2" t="n"/>
      <c r="D455" s="3" t="n"/>
    </row>
    <row r="456">
      <c r="A456" s="2" t="n"/>
      <c r="B456" s="2" t="n"/>
      <c r="C456" s="2" t="n"/>
      <c r="D456" s="3" t="n"/>
    </row>
    <row r="457">
      <c r="A457" s="2" t="n"/>
      <c r="B457" s="2" t="n"/>
      <c r="C457" s="2" t="n"/>
      <c r="D457" s="3" t="n"/>
    </row>
    <row r="458">
      <c r="A458" s="2" t="n"/>
      <c r="B458" s="2" t="n"/>
      <c r="C458" s="2" t="n"/>
      <c r="D458" s="3" t="n"/>
    </row>
    <row r="459">
      <c r="A459" s="2" t="n"/>
      <c r="B459" s="2" t="n"/>
      <c r="C459" s="2" t="n"/>
      <c r="D459" s="3" t="n"/>
    </row>
    <row r="460">
      <c r="A460" s="2" t="n"/>
      <c r="B460" s="2" t="n"/>
      <c r="C460" s="2" t="n"/>
      <c r="D460" s="3" t="n"/>
    </row>
    <row r="461">
      <c r="A461" s="2" t="n"/>
      <c r="B461" s="2" t="n"/>
      <c r="C461" s="2" t="n"/>
      <c r="D461" s="3" t="n"/>
    </row>
    <row r="462">
      <c r="A462" s="2" t="n"/>
      <c r="B462" s="2" t="n"/>
      <c r="C462" s="2" t="n"/>
      <c r="D462" s="3" t="n"/>
    </row>
    <row r="463">
      <c r="A463" s="2" t="n"/>
      <c r="B463" s="2" t="n"/>
      <c r="C463" s="2" t="n"/>
      <c r="D463" s="3" t="n"/>
    </row>
    <row r="464">
      <c r="A464" s="2" t="n"/>
      <c r="B464" s="2" t="n"/>
      <c r="C464" s="2" t="n"/>
      <c r="D464" s="3" t="n"/>
    </row>
    <row r="465">
      <c r="A465" s="2" t="n"/>
      <c r="B465" s="2" t="n"/>
      <c r="C465" s="2" t="n"/>
      <c r="D465" s="3" t="n"/>
    </row>
    <row r="466">
      <c r="A466" s="2" t="n"/>
      <c r="B466" s="2" t="n"/>
      <c r="C466" s="2" t="n"/>
      <c r="D466" s="3" t="n"/>
    </row>
    <row r="467">
      <c r="A467" s="2" t="n"/>
      <c r="B467" s="2" t="n"/>
      <c r="C467" s="2" t="n"/>
      <c r="D467" s="3" t="n"/>
    </row>
    <row r="468">
      <c r="A468" s="2" t="n"/>
      <c r="B468" s="2" t="n"/>
      <c r="C468" s="2" t="n"/>
      <c r="D468" s="3" t="n"/>
    </row>
    <row r="469">
      <c r="A469" s="2" t="n"/>
      <c r="B469" s="2" t="n"/>
      <c r="C469" s="2" t="n"/>
      <c r="D469" s="3" t="n"/>
    </row>
    <row r="470">
      <c r="A470" s="2" t="n"/>
      <c r="B470" s="2" t="n"/>
      <c r="C470" s="2" t="n"/>
      <c r="D470" s="3" t="n"/>
    </row>
    <row r="471">
      <c r="A471" s="2" t="n"/>
      <c r="B471" s="2" t="n"/>
      <c r="C471" s="2" t="n"/>
      <c r="D471" s="3" t="n"/>
    </row>
    <row r="472">
      <c r="A472" s="2" t="n"/>
      <c r="B472" s="2" t="n"/>
      <c r="C472" s="2" t="n"/>
      <c r="D472" s="3" t="n"/>
    </row>
    <row r="473">
      <c r="A473" s="2" t="n"/>
      <c r="B473" s="2" t="n"/>
      <c r="C473" s="2" t="n"/>
      <c r="D473" s="3" t="n"/>
    </row>
    <row r="474">
      <c r="A474" s="2" t="n"/>
      <c r="B474" s="2" t="n"/>
      <c r="C474" s="2" t="n"/>
      <c r="D474" s="3" t="n"/>
    </row>
    <row r="475">
      <c r="A475" s="2" t="n"/>
      <c r="B475" s="2" t="n"/>
      <c r="C475" s="2" t="n"/>
      <c r="D475" s="3" t="n"/>
    </row>
    <row r="476">
      <c r="A476" s="2" t="n"/>
      <c r="B476" s="2" t="n"/>
      <c r="C476" s="2" t="n"/>
      <c r="D476" s="3" t="n"/>
    </row>
    <row r="477">
      <c r="A477" s="2" t="n"/>
      <c r="B477" s="2" t="n"/>
      <c r="C477" s="2" t="n"/>
      <c r="D477" s="3" t="n"/>
    </row>
    <row r="478">
      <c r="A478" s="2" t="n"/>
      <c r="B478" s="2" t="n"/>
      <c r="C478" s="2" t="n"/>
      <c r="D478" s="3" t="n"/>
    </row>
    <row r="479">
      <c r="A479" s="2" t="n"/>
      <c r="B479" s="2" t="n"/>
      <c r="C479" s="2" t="n"/>
      <c r="D479" s="3" t="n"/>
    </row>
    <row r="480">
      <c r="A480" s="2" t="n"/>
      <c r="B480" s="2" t="n"/>
      <c r="C480" s="2" t="n"/>
      <c r="D480" s="3" t="n"/>
    </row>
    <row r="481">
      <c r="A481" s="2" t="n"/>
      <c r="B481" s="2" t="n"/>
      <c r="C481" s="2" t="n"/>
      <c r="D481" s="3" t="n"/>
    </row>
    <row r="482">
      <c r="A482" s="2" t="n"/>
      <c r="B482" s="2" t="n"/>
      <c r="C482" s="2" t="n"/>
      <c r="D482" s="3" t="n"/>
    </row>
    <row r="483">
      <c r="A483" s="2" t="n"/>
      <c r="B483" s="2" t="n"/>
      <c r="C483" s="2" t="n"/>
      <c r="D483" s="3" t="n"/>
    </row>
    <row r="484">
      <c r="A484" s="2" t="n"/>
      <c r="B484" s="2" t="n"/>
      <c r="C484" s="2" t="n"/>
      <c r="D484" s="3" t="n"/>
    </row>
    <row r="485">
      <c r="A485" s="2" t="n"/>
      <c r="B485" s="2" t="n"/>
      <c r="C485" s="2" t="n"/>
      <c r="D485" s="3" t="n"/>
    </row>
    <row r="486">
      <c r="A486" s="2" t="n"/>
      <c r="B486" s="2" t="n"/>
      <c r="C486" s="2" t="n"/>
      <c r="D486" s="3" t="n"/>
    </row>
    <row r="487">
      <c r="A487" s="2" t="n"/>
      <c r="B487" s="2" t="n"/>
      <c r="C487" s="2" t="n"/>
      <c r="D487" s="3" t="n"/>
    </row>
    <row r="488">
      <c r="A488" s="2" t="n"/>
      <c r="B488" s="2" t="n"/>
      <c r="C488" s="2" t="n"/>
      <c r="D488" s="3" t="n"/>
    </row>
    <row r="489">
      <c r="A489" s="2" t="n"/>
      <c r="B489" s="2" t="n"/>
      <c r="C489" s="2" t="n"/>
      <c r="D489" s="3" t="n"/>
    </row>
    <row r="490">
      <c r="A490" s="2" t="n"/>
      <c r="B490" s="2" t="n"/>
      <c r="C490" s="2" t="n"/>
      <c r="D490" s="3" t="n"/>
    </row>
    <row r="491">
      <c r="A491" s="2" t="n"/>
      <c r="B491" s="2" t="n"/>
      <c r="C491" s="2" t="n"/>
      <c r="D491" s="3" t="n"/>
    </row>
    <row r="492">
      <c r="A492" s="2" t="n"/>
      <c r="B492" s="2" t="n"/>
      <c r="C492" s="2" t="n"/>
      <c r="D492" s="3" t="n"/>
    </row>
    <row r="493">
      <c r="A493" s="2" t="n"/>
      <c r="B493" s="2" t="n"/>
      <c r="C493" s="2" t="n"/>
      <c r="D493" s="3" t="n"/>
    </row>
    <row r="494">
      <c r="A494" s="2" t="n"/>
      <c r="B494" s="2" t="n"/>
      <c r="C494" s="2" t="n"/>
      <c r="D494" s="3" t="n"/>
    </row>
    <row r="495">
      <c r="A495" s="2" t="n"/>
      <c r="B495" s="2" t="n"/>
      <c r="C495" s="2" t="n"/>
      <c r="D495" s="3" t="n"/>
    </row>
    <row r="496">
      <c r="A496" s="2" t="n"/>
      <c r="B496" s="2" t="n"/>
      <c r="C496" s="2" t="n"/>
      <c r="D496" s="3" t="n"/>
    </row>
    <row r="497">
      <c r="A497" s="2" t="n"/>
      <c r="B497" s="2" t="n"/>
      <c r="C497" s="2" t="n"/>
      <c r="D497" s="3" t="n"/>
    </row>
    <row r="498">
      <c r="A498" s="2" t="n"/>
      <c r="B498" s="2" t="n"/>
      <c r="C498" s="2" t="n"/>
      <c r="D498" s="3" t="n"/>
    </row>
    <row r="499">
      <c r="A499" s="2" t="n"/>
      <c r="B499" s="2" t="n"/>
      <c r="C499" s="2" t="n"/>
      <c r="D499" s="3" t="n"/>
    </row>
    <row r="500">
      <c r="A500" s="2" t="n"/>
      <c r="B500" s="2" t="n"/>
      <c r="C500" s="2" t="n"/>
      <c r="D500" s="3" t="n"/>
    </row>
    <row r="501">
      <c r="A501" s="2" t="n"/>
      <c r="B501" s="2" t="n"/>
      <c r="C501" s="2" t="n"/>
      <c r="D5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Category</t>
        </is>
      </c>
      <c r="B1" s="16" t="inlineStr">
        <is>
          <t>Total ($)</t>
        </is>
      </c>
    </row>
    <row r="2">
      <c r="A2" s="17" t="inlineStr">
        <is>
          <t>Materials</t>
        </is>
      </c>
      <c r="B2" s="18">
        <f>IF(A2="","",SUMIF(Expenses!$C:$C,A2,Expenses!$D:$D))</f>
        <v/>
      </c>
    </row>
    <row r="3">
      <c r="A3" s="17" t="inlineStr">
        <is>
          <t>Tools</t>
        </is>
      </c>
      <c r="B3" s="18">
        <f>IF(A3="","",SUMIF(Expenses!$C:$C,A3,Expenses!$D:$D))</f>
        <v/>
      </c>
    </row>
    <row r="4">
      <c r="A4" s="17" t="inlineStr">
        <is>
          <t>Gas / Fuel</t>
        </is>
      </c>
      <c r="B4" s="18">
        <f>IF(A4="","",SUMIF(Expenses!$C:$C,A4,Expenses!$D:$D))</f>
        <v/>
      </c>
    </row>
    <row r="5">
      <c r="A5" s="17" t="inlineStr">
        <is>
          <t>Tolls</t>
        </is>
      </c>
      <c r="B5" s="18">
        <f>IF(A5="","",SUMIF(Expenses!$C:$C,A5,Expenses!$D:$D))</f>
        <v/>
      </c>
    </row>
    <row r="6">
      <c r="A6" s="17" t="inlineStr">
        <is>
          <t>Meals</t>
        </is>
      </c>
      <c r="B6" s="18">
        <f>IF(A6="","",SUMIF(Expenses!$C:$C,A6,Expenses!$D:$D))</f>
        <v/>
      </c>
    </row>
    <row r="7">
      <c r="A7" s="17" t="inlineStr">
        <is>
          <t>Job Supplies</t>
        </is>
      </c>
      <c r="B7" s="18">
        <f>IF(A7="","",SUMIF(Expenses!$C:$C,A7,Expenses!$D:$D))</f>
        <v/>
      </c>
    </row>
    <row r="8">
      <c r="A8" s="17" t="inlineStr">
        <is>
          <t>Subcontractor Payments</t>
        </is>
      </c>
      <c r="B8" s="18">
        <f>IF(A8="","",SUMIF(Expenses!$C:$C,A8,Expenses!$D:$D))</f>
        <v/>
      </c>
    </row>
    <row r="9">
      <c r="A9" s="17" t="inlineStr">
        <is>
          <t>Rental Equipment</t>
        </is>
      </c>
      <c r="B9" s="18">
        <f>IF(A9="","",SUMIF(Expenses!$C:$C,A9,Expenses!$D:$D))</f>
        <v/>
      </c>
    </row>
    <row r="10">
      <c r="A10" s="17" t="inlineStr">
        <is>
          <t>Marketing / Advertising</t>
        </is>
      </c>
      <c r="B10" s="18">
        <f>IF(A10="","",SUMIF(Expenses!$C:$C,A10,Expenses!$D:$D))</f>
        <v/>
      </c>
    </row>
    <row r="11">
      <c r="A11" s="17" t="inlineStr">
        <is>
          <t>Advertisements</t>
        </is>
      </c>
      <c r="B11" s="18">
        <f>IF(A11="","",SUMIF(Expenses!$C:$C,A11,Expenses!$D:$D))</f>
        <v/>
      </c>
    </row>
    <row r="12">
      <c r="A12" s="17" t="inlineStr">
        <is>
          <t>Website / Software</t>
        </is>
      </c>
      <c r="B12" s="18">
        <f>IF(A12="","",SUMIF(Expenses!$C:$C,A12,Expenses!$D:$D))</f>
        <v/>
      </c>
    </row>
    <row r="13">
      <c r="A13" s="17" t="inlineStr">
        <is>
          <t>Insurance</t>
        </is>
      </c>
      <c r="B13" s="18">
        <f>IF(A13="","",SUMIF(Expenses!$C:$C,A13,Expenses!$D:$D))</f>
        <v/>
      </c>
    </row>
    <row r="14">
      <c r="A14" s="17" t="inlineStr">
        <is>
          <t>Licenses / Fees</t>
        </is>
      </c>
      <c r="B14" s="18">
        <f>IF(A14="","",SUMIF(Expenses!$C:$C,A14,Expenses!$D:$D))</f>
        <v/>
      </c>
    </row>
    <row r="15">
      <c r="A15" s="17" t="inlineStr">
        <is>
          <t>Miscellaneous</t>
        </is>
      </c>
      <c r="B15" s="18">
        <f>IF(A15="","",SUMIF(Expenses!$C:$C,A15,Expenses!$D:$D))</f>
        <v/>
      </c>
    </row>
    <row r="16">
      <c r="A16" s="17" t="inlineStr">
        <is>
          <t>Equipment Repair</t>
        </is>
      </c>
      <c r="B16" s="18">
        <f>IF(A16="","",SUMIF(Expenses!$C:$C,A16,Expenses!$D:$D))</f>
        <v/>
      </c>
    </row>
    <row r="17">
      <c r="A17" s="17" t="inlineStr">
        <is>
          <t>Extra 1</t>
        </is>
      </c>
      <c r="B17" s="18">
        <f>IF(A17="","",SUMIF(Expenses!$C:$C,A17,Expenses!$D:$D))</f>
        <v/>
      </c>
    </row>
    <row r="18">
      <c r="A18" s="17" t="inlineStr">
        <is>
          <t>Extra 2</t>
        </is>
      </c>
      <c r="B18" s="18">
        <f>IF(A18="","",SUMIF(Expenses!$C:$C,A18,Expenses!$D:$D))</f>
        <v/>
      </c>
    </row>
    <row r="19">
      <c r="A19" s="17" t="inlineStr">
        <is>
          <t>Extra 3</t>
        </is>
      </c>
      <c r="B19" s="18">
        <f>IF(A19="","",SUMIF(Expenses!$C:$C,A19,Expenses!$D:$D))</f>
        <v/>
      </c>
    </row>
    <row r="20">
      <c r="A20" s="2" t="n"/>
      <c r="B20" s="3">
        <f>IF(A20="","",SUMIF(Expenses!$C:$C,A20,Expenses!$D:$D))</f>
        <v/>
      </c>
    </row>
    <row r="21">
      <c r="A21" s="2" t="n"/>
      <c r="B21" s="3">
        <f>IF(A21="","",SUMIF(Expenses!$C:$C,A21,Expenses!$D:$D))</f>
        <v/>
      </c>
    </row>
    <row r="22">
      <c r="A22" s="2" t="n"/>
      <c r="B22" s="3">
        <f>IF(A22="","",SUMIF(Expenses!$C:$C,A22,Expenses!$D:$D))</f>
        <v/>
      </c>
    </row>
    <row r="23">
      <c r="B23">
        <f>IF(A23="","",SUMIF(Expenses!$C:$C,A23,Expenses!$D:$D))</f>
        <v/>
      </c>
    </row>
    <row r="24">
      <c r="A24" s="19" t="n"/>
      <c r="B24" s="19">
        <f>IF(A24="","",SUMIF(Expenses!$C:$C,A24,Expenses!$D:$D))</f>
        <v/>
      </c>
    </row>
    <row r="25">
      <c r="B25">
        <f>IF(A25="","",SUMIF(Expenses!$C:$C,A25,Expenses!$D:$D))</f>
        <v/>
      </c>
    </row>
    <row r="26">
      <c r="B26">
        <f>IF(A26="","",SUMIF(Expenses!$C:$C,A26,Expenses!$D:$D))</f>
        <v/>
      </c>
    </row>
    <row r="27">
      <c r="B27">
        <f>IF(A27="","",SUMIF(Expenses!$C:$C,A27,Expenses!$D:$D))</f>
        <v/>
      </c>
    </row>
    <row r="28">
      <c r="B28">
        <f>IF(A28="","",SUMIF(Expenses!$C:$C,A28,Expenses!$D:$D))</f>
        <v/>
      </c>
    </row>
    <row r="29">
      <c r="B29">
        <f>IF(A29="","",SUMIF(Expenses!$C:$C,A29,Expenses!$D:$D))</f>
        <v/>
      </c>
    </row>
    <row r="30">
      <c r="B30">
        <f>IF(A30="","",SUMIF(Expenses!$C:$C,A30,Expenses!$D:$D))</f>
        <v/>
      </c>
    </row>
    <row r="31">
      <c r="B31">
        <f>IF(A31="","",SUMIF(Expenses!$C:$C,A31,Expenses!$D:$D))</f>
        <v/>
      </c>
    </row>
    <row r="32">
      <c r="B32">
        <f>IF(A32="","",SUMIF(Expenses!$C:$C,A32,Expenses!$D:$D))</f>
        <v/>
      </c>
    </row>
    <row r="33">
      <c r="B33">
        <f>IF(A33="","",SUMIF(Expenses!$C:$C,A33,Expenses!$D:$D))</f>
        <v/>
      </c>
    </row>
    <row r="34">
      <c r="B34">
        <f>IF(A34="","",SUMIF(Expenses!$C:$C,A34,Expenses!$D:$D))</f>
        <v/>
      </c>
    </row>
    <row r="35">
      <c r="B35">
        <f>IF(A35="","",SUMIF(Expenses!$C:$C,A35,Expenses!$D:$D))</f>
        <v/>
      </c>
    </row>
    <row r="36">
      <c r="B36">
        <f>IF(A36="","",SUMIF(Expenses!$C:$C,A36,Expenses!$D:$D))</f>
        <v/>
      </c>
    </row>
    <row r="37">
      <c r="B37">
        <f>IF(A37="","",SUMIF(Expenses!$C:$C,A37,Expenses!$D:$D))</f>
        <v/>
      </c>
    </row>
    <row r="38">
      <c r="B38">
        <f>IF(A38="","",SUMIF(Expenses!$C:$C,A38,Expenses!$D:$D))</f>
        <v/>
      </c>
    </row>
    <row r="39">
      <c r="B39">
        <f>IF(A39="","",SUMIF(Expenses!$C:$C,A39,Expenses!$D:$D))</f>
        <v/>
      </c>
    </row>
    <row r="40">
      <c r="B40">
        <f>IF(A40="","",SUMIF(Expenses!$C:$C,A40,Expenses!$D:$D))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Month</t>
        </is>
      </c>
      <c r="B1" s="16" t="inlineStr">
        <is>
          <t>Total ($)</t>
        </is>
      </c>
    </row>
    <row r="2">
      <c r="A2" s="17" t="inlineStr">
        <is>
          <t>January</t>
        </is>
      </c>
      <c r="B2" s="18">
        <f>SUMPRODUCT((MONTH(Expenses!$A$2:$A$501)=1)*(Expenses!$D$2:$D$501))</f>
        <v/>
      </c>
    </row>
    <row r="3">
      <c r="A3" s="17" t="inlineStr">
        <is>
          <t>February</t>
        </is>
      </c>
      <c r="B3" s="18">
        <f>SUMPRODUCT((MONTH(Expenses!$A$2:$A$501)=2)*(Expenses!$D$2:$D$501))</f>
        <v/>
      </c>
    </row>
    <row r="4">
      <c r="A4" s="17" t="inlineStr">
        <is>
          <t>March</t>
        </is>
      </c>
      <c r="B4" s="18">
        <f>SUMPRODUCT((MONTH(Expenses!$A$2:$A$501)=3)*(Expenses!$D$2:$D$501))</f>
        <v/>
      </c>
    </row>
    <row r="5">
      <c r="A5" s="17" t="inlineStr">
        <is>
          <t>April</t>
        </is>
      </c>
      <c r="B5" s="18">
        <f>SUMPRODUCT((MONTH(Expenses!$A$2:$A$501)=4)*(Expenses!$D$2:$D$501))</f>
        <v/>
      </c>
    </row>
    <row r="6">
      <c r="A6" s="17" t="inlineStr">
        <is>
          <t>May</t>
        </is>
      </c>
      <c r="B6" s="18">
        <f>SUMPRODUCT((MONTH(Expenses!$A$2:$A$501)=5)*(Expenses!$D$2:$D$501))</f>
        <v/>
      </c>
    </row>
    <row r="7">
      <c r="A7" s="17" t="inlineStr">
        <is>
          <t>June</t>
        </is>
      </c>
      <c r="B7" s="18">
        <f>SUMPRODUCT((MONTH(Expenses!$A$2:$A$501)=6)*(Expenses!$D$2:$D$501))</f>
        <v/>
      </c>
    </row>
    <row r="8">
      <c r="A8" s="17" t="inlineStr">
        <is>
          <t>July</t>
        </is>
      </c>
      <c r="B8" s="18">
        <f>SUMPRODUCT((MONTH(Expenses!$A$2:$A$501)=7)*(Expenses!$D$2:$D$501))</f>
        <v/>
      </c>
    </row>
    <row r="9">
      <c r="A9" s="17" t="inlineStr">
        <is>
          <t>August</t>
        </is>
      </c>
      <c r="B9" s="18">
        <f>SUMPRODUCT((MONTH(Expenses!$A$2:$A$501)=8)*(Expenses!$D$2:$D$501))</f>
        <v/>
      </c>
    </row>
    <row r="10">
      <c r="A10" s="17" t="inlineStr">
        <is>
          <t>September</t>
        </is>
      </c>
      <c r="B10" s="18">
        <f>SUMPRODUCT((MONTH(Expenses!$A$2:$A$501)=9)*(Expenses!$D$2:$D$501))</f>
        <v/>
      </c>
    </row>
    <row r="11">
      <c r="A11" s="17" t="inlineStr">
        <is>
          <t>October</t>
        </is>
      </c>
      <c r="B11" s="18">
        <f>SUMPRODUCT((MONTH(Expenses!$A$2:$A$501)=10)*(Expenses!$D$2:$D$501))</f>
        <v/>
      </c>
    </row>
    <row r="12">
      <c r="A12" s="17" t="inlineStr">
        <is>
          <t>November</t>
        </is>
      </c>
      <c r="B12" s="18">
        <f>SUMPRODUCT((MONTH(Expenses!$A$2:$A$501)=11)*(Expenses!$D$2:$D$501))</f>
        <v/>
      </c>
    </row>
    <row r="13">
      <c r="A13" s="17" t="inlineStr">
        <is>
          <t>December</t>
        </is>
      </c>
      <c r="B13" s="18">
        <f>SUMPRODUCT((MONTH(Expenses!$A$2:$A$501)=12)*(Expenses!$D$2:$D$501))</f>
        <v/>
      </c>
    </row>
    <row r="14"/>
    <row r="15">
      <c r="A15" s="20" t="inlineStr">
        <is>
          <t>TOTAL (Year)</t>
        </is>
      </c>
      <c r="B15" s="20">
        <f>SUM(B2:B13)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Year</t>
        </is>
      </c>
      <c r="B1" s="16" t="inlineStr">
        <is>
          <t>Total ($)</t>
        </is>
      </c>
    </row>
    <row r="2">
      <c r="A2" s="17" t="n">
        <v>2024</v>
      </c>
      <c r="B2" s="18">
        <f>SUMPRODUCT((YEAR(Expenses!$A$2:$A$501)=A2)*(Expenses!$D$2:$D$501))</f>
        <v/>
      </c>
    </row>
    <row r="3">
      <c r="A3" s="17" t="n">
        <v>2025</v>
      </c>
      <c r="B3" s="18">
        <f>SUMPRODUCT((YEAR(Expenses!$A$2:$A$501)=A3)*(Expenses!$D$2:$D$501))</f>
        <v/>
      </c>
    </row>
    <row r="4">
      <c r="A4" s="17" t="n">
        <v>2026</v>
      </c>
      <c r="B4" s="18">
        <f>SUMPRODUCT((YEAR(Expenses!$A$2:$A$501)=A4)*(Expenses!$D$2:$D$501))</f>
        <v/>
      </c>
    </row>
    <row r="5">
      <c r="A5" s="17" t="n">
        <v>2027</v>
      </c>
      <c r="B5" s="18">
        <f>SUMPRODUCT((YEAR(Expenses!$A$2:$A$501)=A5)*(Expenses!$D$2:$D$501))</f>
        <v/>
      </c>
    </row>
    <row r="6">
      <c r="A6" s="17" t="n">
        <v>2028</v>
      </c>
      <c r="B6" s="18">
        <f>SUMPRODUCT((YEAR(Expenses!$A$2:$A$501)=A6)*(Expenses!$D$2:$D$501))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Job Name</t>
        </is>
      </c>
      <c r="B1" s="15" t="inlineStr">
        <is>
          <t>Client</t>
        </is>
      </c>
      <c r="C1" s="15" t="inlineStr">
        <is>
          <t>Date</t>
        </is>
      </c>
      <c r="D1" s="15" t="inlineStr">
        <is>
          <t>Category</t>
        </is>
      </c>
      <c r="E1" s="15" t="inlineStr">
        <is>
          <t>Description</t>
        </is>
      </c>
      <c r="F1" s="15" t="inlineStr">
        <is>
          <t>Amount ($)</t>
        </is>
      </c>
      <c r="G1" s="17" t="inlineStr">
        <is>
          <t>Revenue ($)</t>
        </is>
      </c>
      <c r="H1" s="17" t="inlineStr">
        <is>
          <t>Profit ($)</t>
        </is>
      </c>
      <c r="J1" s="21" t="inlineStr">
        <is>
          <t>Job</t>
        </is>
      </c>
      <c r="K1" s="21" t="inlineStr">
        <is>
          <t>Total Profit</t>
        </is>
      </c>
    </row>
    <row r="2">
      <c r="A2" s="2" t="n"/>
      <c r="B2" s="2" t="n"/>
      <c r="C2" s="2" t="n"/>
      <c r="D2" s="2" t="n"/>
      <c r="E2" s="2" t="n"/>
      <c r="F2" s="3" t="n"/>
      <c r="G2" s="12" t="n"/>
      <c r="H2" s="22">
        <f>G2-F2</f>
        <v/>
      </c>
      <c r="I2" s="23" t="inlineStr">
        <is>
          <t>Job Name:</t>
        </is>
      </c>
      <c r="J2" s="21" t="inlineStr">
        <is>
          <t>Job 1</t>
        </is>
      </c>
      <c r="K2" s="22">
        <f>SUMIF(A2:A251, J2, H2:H251)</f>
        <v/>
      </c>
    </row>
    <row r="3">
      <c r="A3" s="2" t="n"/>
      <c r="B3" s="2" t="n"/>
      <c r="C3" s="2" t="n"/>
      <c r="D3" s="2" t="n"/>
      <c r="E3" s="2" t="n"/>
      <c r="F3" s="3" t="n"/>
      <c r="G3" s="12" t="n"/>
      <c r="H3" s="22">
        <f>G3-F3</f>
        <v/>
      </c>
      <c r="I3" s="23" t="inlineStr">
        <is>
          <t>Total Cost:</t>
        </is>
      </c>
      <c r="J3" s="24" t="inlineStr">
        <is>
          <t>Job 2</t>
        </is>
      </c>
      <c r="K3" s="22">
        <f>SUMIF(A2:A251, J3, H2:H251)</f>
        <v/>
      </c>
    </row>
    <row r="4">
      <c r="A4" s="2" t="n"/>
      <c r="B4" s="2" t="n"/>
      <c r="C4" s="2" t="n"/>
      <c r="D4" s="2" t="n"/>
      <c r="E4" s="2" t="n"/>
      <c r="F4" s="3" t="n"/>
      <c r="G4" s="12" t="n"/>
      <c r="H4" s="22">
        <f>G4-F4</f>
        <v/>
      </c>
      <c r="J4" s="21" t="inlineStr">
        <is>
          <t>Job 3</t>
        </is>
      </c>
      <c r="K4" s="22">
        <f>SUMIF(A2:A251, J4, H2:H251)</f>
        <v/>
      </c>
    </row>
    <row r="5">
      <c r="A5" s="2" t="n"/>
      <c r="B5" s="2" t="n"/>
      <c r="C5" s="2" t="n"/>
      <c r="D5" s="2" t="n"/>
      <c r="E5" s="2" t="n"/>
      <c r="F5" s="3" t="n"/>
      <c r="G5" s="12" t="n"/>
      <c r="H5" s="22">
        <f>G5-F5</f>
        <v/>
      </c>
      <c r="J5" s="21" t="inlineStr">
        <is>
          <t>Job 4</t>
        </is>
      </c>
      <c r="K5" s="22">
        <f>SUMIF(A2:A251, J5, H2:H251)</f>
        <v/>
      </c>
    </row>
    <row r="6">
      <c r="A6" s="2" t="n"/>
      <c r="B6" s="2" t="n"/>
      <c r="C6" s="2" t="n"/>
      <c r="D6" s="2" t="n"/>
      <c r="E6" s="2" t="n"/>
      <c r="F6" s="3" t="n"/>
      <c r="G6" s="12" t="n"/>
      <c r="H6" s="22">
        <f>G6-F6</f>
        <v/>
      </c>
      <c r="J6" s="21" t="inlineStr">
        <is>
          <t>Job 5</t>
        </is>
      </c>
      <c r="K6" s="22">
        <f>SUMIF(A2:A251, J6, H2:H251)</f>
        <v/>
      </c>
    </row>
    <row r="7">
      <c r="A7" s="2" t="n"/>
      <c r="B7" s="2" t="n"/>
      <c r="C7" s="2" t="n"/>
      <c r="D7" s="2" t="n"/>
      <c r="E7" s="2" t="n"/>
      <c r="F7" s="3" t="n"/>
      <c r="G7" s="12" t="n"/>
      <c r="H7" s="22">
        <f>G7-F7</f>
        <v/>
      </c>
      <c r="J7" s="21" t="inlineStr">
        <is>
          <t>Job 6</t>
        </is>
      </c>
      <c r="K7" s="22">
        <f>SUMIF(A2:A251, J7, H2:H251)</f>
        <v/>
      </c>
    </row>
    <row r="8">
      <c r="A8" s="2" t="n"/>
      <c r="B8" s="2" t="n"/>
      <c r="C8" s="2" t="n"/>
      <c r="D8" s="2" t="n"/>
      <c r="E8" s="2" t="n"/>
      <c r="F8" s="3" t="n"/>
      <c r="G8" s="12" t="n"/>
      <c r="H8" s="22">
        <f>G8-F8</f>
        <v/>
      </c>
      <c r="J8" s="21" t="inlineStr">
        <is>
          <t>Job 7</t>
        </is>
      </c>
      <c r="K8" s="22">
        <f>SUMIF(A2:A251, J8, H2:H251)</f>
        <v/>
      </c>
    </row>
    <row r="9">
      <c r="A9" s="2" t="n"/>
      <c r="B9" s="2" t="n"/>
      <c r="C9" s="2" t="n"/>
      <c r="D9" s="2" t="n"/>
      <c r="E9" s="2" t="n"/>
      <c r="F9" s="3" t="n"/>
      <c r="G9" s="12" t="n"/>
      <c r="H9" s="22">
        <f>G9-F9</f>
        <v/>
      </c>
      <c r="J9" s="21" t="inlineStr">
        <is>
          <t>Job 8</t>
        </is>
      </c>
      <c r="K9" s="22">
        <f>SUMIF(A2:A251, J9, H2:H251)</f>
        <v/>
      </c>
    </row>
    <row r="10">
      <c r="A10" s="2" t="n"/>
      <c r="B10" s="2" t="n"/>
      <c r="C10" s="2" t="n"/>
      <c r="D10" s="2" t="n"/>
      <c r="E10" s="2" t="n"/>
      <c r="F10" s="3" t="n"/>
      <c r="G10" s="12" t="n"/>
      <c r="H10" s="22">
        <f>G10-F10</f>
        <v/>
      </c>
      <c r="J10" s="21" t="inlineStr">
        <is>
          <t>Job 9</t>
        </is>
      </c>
      <c r="K10" s="22">
        <f>SUMIF(A2:A251, J10, H2:H251)</f>
        <v/>
      </c>
    </row>
    <row r="11">
      <c r="A11" s="2" t="n"/>
      <c r="B11" s="2" t="n"/>
      <c r="C11" s="2" t="n"/>
      <c r="D11" s="2" t="n"/>
      <c r="E11" s="2" t="n"/>
      <c r="F11" s="3" t="n"/>
      <c r="G11" s="12" t="n"/>
      <c r="H11" s="22">
        <f>G11-F11</f>
        <v/>
      </c>
      <c r="J11" s="21" t="inlineStr">
        <is>
          <t>Job 10</t>
        </is>
      </c>
      <c r="K11" s="22">
        <f>SUMIF(A2:A251, J11, H2:H251)</f>
        <v/>
      </c>
    </row>
    <row r="12">
      <c r="A12" s="2" t="n"/>
      <c r="B12" s="2" t="n"/>
      <c r="C12" s="2" t="n"/>
      <c r="D12" s="2" t="n"/>
      <c r="E12" s="2" t="n"/>
      <c r="F12" s="3" t="n"/>
      <c r="G12" s="12" t="n"/>
      <c r="H12" s="22">
        <f>G12-F12</f>
        <v/>
      </c>
    </row>
    <row r="13">
      <c r="A13" s="2" t="n"/>
      <c r="B13" s="2" t="n"/>
      <c r="C13" s="2" t="n"/>
      <c r="D13" s="2" t="n"/>
      <c r="E13" s="2" t="n"/>
      <c r="F13" s="3" t="n"/>
      <c r="G13" s="12" t="n"/>
      <c r="H13" s="22">
        <f>G13-F13</f>
        <v/>
      </c>
    </row>
    <row r="14">
      <c r="A14" s="2" t="n"/>
      <c r="B14" s="2" t="n"/>
      <c r="C14" s="2" t="n"/>
      <c r="D14" s="2" t="n"/>
      <c r="E14" s="2" t="n"/>
      <c r="F14" s="3" t="n"/>
      <c r="G14" s="12" t="n"/>
      <c r="H14" s="22">
        <f>G14-F14</f>
        <v/>
      </c>
    </row>
    <row r="15">
      <c r="A15" s="2" t="n"/>
      <c r="B15" s="2" t="n"/>
      <c r="C15" s="2" t="n"/>
      <c r="D15" s="2" t="n"/>
      <c r="E15" s="2" t="n"/>
      <c r="F15" s="3" t="n"/>
      <c r="G15" s="12" t="n"/>
      <c r="H15" s="22">
        <f>G15-F15</f>
        <v/>
      </c>
    </row>
    <row r="16">
      <c r="A16" s="2" t="n"/>
      <c r="B16" s="2" t="n"/>
      <c r="C16" s="2" t="n"/>
      <c r="D16" s="2" t="n"/>
      <c r="E16" s="2" t="n"/>
      <c r="F16" s="3" t="n"/>
      <c r="G16" s="12" t="n"/>
      <c r="H16" s="22">
        <f>G16-F16</f>
        <v/>
      </c>
    </row>
    <row r="17">
      <c r="A17" s="2" t="n"/>
      <c r="B17" s="2" t="n"/>
      <c r="C17" s="2" t="n"/>
      <c r="D17" s="2" t="n"/>
      <c r="E17" s="2" t="n"/>
      <c r="F17" s="3" t="n"/>
      <c r="G17" s="12" t="n"/>
      <c r="H17" s="22">
        <f>G17-F17</f>
        <v/>
      </c>
    </row>
    <row r="18">
      <c r="A18" s="2" t="n"/>
      <c r="B18" s="2" t="n"/>
      <c r="C18" s="2" t="n"/>
      <c r="D18" s="2" t="n"/>
      <c r="E18" s="2" t="n"/>
      <c r="F18" s="3" t="n"/>
      <c r="G18" s="12" t="n"/>
      <c r="H18" s="22">
        <f>G18-F18</f>
        <v/>
      </c>
    </row>
    <row r="19">
      <c r="A19" s="2" t="n"/>
      <c r="B19" s="2" t="n"/>
      <c r="C19" s="2" t="n"/>
      <c r="D19" s="2" t="n"/>
      <c r="E19" s="2" t="n"/>
      <c r="F19" s="3" t="n"/>
      <c r="G19" s="12" t="n"/>
      <c r="H19" s="22">
        <f>G19-F19</f>
        <v/>
      </c>
    </row>
    <row r="20">
      <c r="A20" s="2" t="n"/>
      <c r="B20" s="2" t="n"/>
      <c r="C20" s="2" t="n"/>
      <c r="D20" s="2" t="n"/>
      <c r="E20" s="2" t="n"/>
      <c r="F20" s="3" t="n"/>
      <c r="G20" s="12" t="n"/>
      <c r="H20" s="22">
        <f>G20-F20</f>
        <v/>
      </c>
    </row>
    <row r="21">
      <c r="A21" s="2" t="n"/>
      <c r="B21" s="2" t="n"/>
      <c r="C21" s="2" t="n"/>
      <c r="D21" s="2" t="n"/>
      <c r="E21" s="2" t="n"/>
      <c r="F21" s="3" t="n"/>
      <c r="G21" s="12" t="n"/>
      <c r="H21" s="22">
        <f>G21-F21</f>
        <v/>
      </c>
    </row>
    <row r="22">
      <c r="A22" s="2" t="n"/>
      <c r="B22" s="2" t="n"/>
      <c r="C22" s="2" t="n"/>
      <c r="D22" s="2" t="n"/>
      <c r="E22" s="2" t="n"/>
      <c r="F22" s="3" t="n"/>
      <c r="G22" s="12" t="n"/>
      <c r="H22" s="22">
        <f>G22-F22</f>
        <v/>
      </c>
    </row>
    <row r="23">
      <c r="A23" s="2" t="n"/>
      <c r="B23" s="2" t="n"/>
      <c r="C23" s="2" t="n"/>
      <c r="D23" s="2" t="n"/>
      <c r="E23" s="2" t="n"/>
      <c r="F23" s="3" t="n"/>
      <c r="G23" s="12" t="n"/>
      <c r="H23" s="22">
        <f>G23-F23</f>
        <v/>
      </c>
    </row>
    <row r="24">
      <c r="A24" s="2" t="n"/>
      <c r="B24" s="2" t="n"/>
      <c r="C24" s="2" t="n"/>
      <c r="D24" s="2" t="n"/>
      <c r="E24" s="2" t="n"/>
      <c r="F24" s="3" t="n"/>
      <c r="G24" s="12" t="n"/>
      <c r="H24" s="22">
        <f>G24-F24</f>
        <v/>
      </c>
    </row>
    <row r="25">
      <c r="A25" s="2" t="n"/>
      <c r="B25" s="2" t="n"/>
      <c r="C25" s="2" t="n"/>
      <c r="D25" s="2" t="n"/>
      <c r="E25" s="2" t="n"/>
      <c r="F25" s="3" t="n"/>
      <c r="G25" s="12" t="n"/>
      <c r="H25" s="22">
        <f>G25-F25</f>
        <v/>
      </c>
    </row>
    <row r="26">
      <c r="A26" s="2" t="n"/>
      <c r="B26" s="2" t="n"/>
      <c r="C26" s="2" t="n"/>
      <c r="D26" s="2" t="n"/>
      <c r="E26" s="2" t="n"/>
      <c r="F26" s="3" t="n"/>
      <c r="G26" s="12" t="n"/>
      <c r="H26" s="22">
        <f>G26-F26</f>
        <v/>
      </c>
    </row>
    <row r="27">
      <c r="A27" s="2" t="n"/>
      <c r="B27" s="2" t="n"/>
      <c r="C27" s="2" t="n"/>
      <c r="D27" s="2" t="n"/>
      <c r="E27" s="2" t="n"/>
      <c r="F27" s="3" t="n"/>
      <c r="G27" s="12" t="n"/>
      <c r="H27" s="22">
        <f>G27-F27</f>
        <v/>
      </c>
    </row>
    <row r="28">
      <c r="A28" s="2" t="n"/>
      <c r="B28" s="2" t="n"/>
      <c r="C28" s="2" t="n"/>
      <c r="D28" s="2" t="n"/>
      <c r="E28" s="2" t="n"/>
      <c r="F28" s="3" t="n"/>
      <c r="G28" s="12" t="n"/>
      <c r="H28" s="22">
        <f>G28-F28</f>
        <v/>
      </c>
    </row>
    <row r="29">
      <c r="A29" s="2" t="n"/>
      <c r="B29" s="2" t="n"/>
      <c r="C29" s="2" t="n"/>
      <c r="D29" s="2" t="n"/>
      <c r="E29" s="2" t="n"/>
      <c r="F29" s="3" t="n"/>
      <c r="G29" s="12" t="n"/>
      <c r="H29" s="22">
        <f>G29-F29</f>
        <v/>
      </c>
    </row>
    <row r="30">
      <c r="A30" s="2" t="n"/>
      <c r="B30" s="2" t="n"/>
      <c r="C30" s="2" t="n"/>
      <c r="D30" s="2" t="n"/>
      <c r="E30" s="2" t="n"/>
      <c r="F30" s="3" t="n"/>
      <c r="G30" s="12" t="n"/>
      <c r="H30" s="22">
        <f>G30-F30</f>
        <v/>
      </c>
    </row>
    <row r="31">
      <c r="A31" s="2" t="n"/>
      <c r="B31" s="2" t="n"/>
      <c r="C31" s="2" t="n"/>
      <c r="D31" s="2" t="n"/>
      <c r="E31" s="2" t="n"/>
      <c r="F31" s="3" t="n"/>
      <c r="G31" s="12" t="n"/>
      <c r="H31" s="22">
        <f>G31-F31</f>
        <v/>
      </c>
    </row>
    <row r="32">
      <c r="A32" s="2" t="n"/>
      <c r="B32" s="2" t="n"/>
      <c r="C32" s="2" t="n"/>
      <c r="D32" s="2" t="n"/>
      <c r="E32" s="2" t="n"/>
      <c r="F32" s="3" t="n"/>
      <c r="G32" s="12" t="n"/>
      <c r="H32" s="22">
        <f>G32-F32</f>
        <v/>
      </c>
    </row>
    <row r="33">
      <c r="A33" s="2" t="n"/>
      <c r="B33" s="2" t="n"/>
      <c r="C33" s="2" t="n"/>
      <c r="D33" s="2" t="n"/>
      <c r="E33" s="2" t="n"/>
      <c r="F33" s="3" t="n"/>
      <c r="G33" s="12" t="n"/>
      <c r="H33" s="22">
        <f>G33-F33</f>
        <v/>
      </c>
    </row>
    <row r="34">
      <c r="A34" s="2" t="n"/>
      <c r="B34" s="2" t="n"/>
      <c r="C34" s="2" t="n"/>
      <c r="D34" s="2" t="n"/>
      <c r="E34" s="2" t="n"/>
      <c r="F34" s="3" t="n"/>
      <c r="G34" s="12" t="n"/>
      <c r="H34" s="22">
        <f>G34-F34</f>
        <v/>
      </c>
    </row>
    <row r="35">
      <c r="A35" s="2" t="n"/>
      <c r="B35" s="2" t="n"/>
      <c r="C35" s="2" t="n"/>
      <c r="D35" s="2" t="n"/>
      <c r="E35" s="2" t="n"/>
      <c r="F35" s="3" t="n"/>
      <c r="G35" s="12" t="n"/>
      <c r="H35" s="22">
        <f>G35-F35</f>
        <v/>
      </c>
    </row>
    <row r="36">
      <c r="A36" s="2" t="n"/>
      <c r="B36" s="2" t="n"/>
      <c r="C36" s="2" t="n"/>
      <c r="D36" s="2" t="n"/>
      <c r="E36" s="2" t="n"/>
      <c r="F36" s="3" t="n"/>
      <c r="G36" s="12" t="n"/>
      <c r="H36" s="22">
        <f>G36-F36</f>
        <v/>
      </c>
    </row>
    <row r="37">
      <c r="A37" s="2" t="n"/>
      <c r="B37" s="2" t="n"/>
      <c r="C37" s="2" t="n"/>
      <c r="D37" s="2" t="n"/>
      <c r="E37" s="2" t="n"/>
      <c r="F37" s="3" t="n"/>
      <c r="G37" s="12" t="n"/>
      <c r="H37" s="22">
        <f>G37-F37</f>
        <v/>
      </c>
    </row>
    <row r="38">
      <c r="A38" s="2" t="n"/>
      <c r="B38" s="2" t="n"/>
      <c r="C38" s="2" t="n"/>
      <c r="D38" s="2" t="n"/>
      <c r="E38" s="2" t="n"/>
      <c r="F38" s="3" t="n"/>
      <c r="G38" s="12" t="n"/>
      <c r="H38" s="22">
        <f>G38-F38</f>
        <v/>
      </c>
    </row>
    <row r="39">
      <c r="A39" s="2" t="n"/>
      <c r="B39" s="2" t="n"/>
      <c r="C39" s="2" t="n"/>
      <c r="D39" s="2" t="n"/>
      <c r="E39" s="2" t="n"/>
      <c r="F39" s="3" t="n"/>
      <c r="G39" s="12" t="n"/>
      <c r="H39" s="22">
        <f>G39-F39</f>
        <v/>
      </c>
    </row>
    <row r="40">
      <c r="A40" s="2" t="n"/>
      <c r="B40" s="2" t="n"/>
      <c r="C40" s="2" t="n"/>
      <c r="D40" s="2" t="n"/>
      <c r="E40" s="2" t="n"/>
      <c r="F40" s="3" t="n"/>
      <c r="G40" s="12" t="n"/>
      <c r="H40" s="22">
        <f>G40-F40</f>
        <v/>
      </c>
    </row>
    <row r="41">
      <c r="A41" s="2" t="n"/>
      <c r="B41" s="2" t="n"/>
      <c r="C41" s="2" t="n"/>
      <c r="D41" s="2" t="n"/>
      <c r="E41" s="2" t="n"/>
      <c r="F41" s="3" t="n"/>
      <c r="G41" s="12" t="n"/>
      <c r="H41" s="22">
        <f>G41-F41</f>
        <v/>
      </c>
    </row>
    <row r="42">
      <c r="A42" s="2" t="n"/>
      <c r="B42" s="2" t="n"/>
      <c r="C42" s="2" t="n"/>
      <c r="D42" s="2" t="n"/>
      <c r="E42" s="2" t="n"/>
      <c r="F42" s="3" t="n"/>
      <c r="G42" s="12" t="n"/>
      <c r="H42" s="22">
        <f>G42-F42</f>
        <v/>
      </c>
    </row>
    <row r="43">
      <c r="A43" s="2" t="n"/>
      <c r="B43" s="2" t="n"/>
      <c r="C43" s="2" t="n"/>
      <c r="D43" s="2" t="n"/>
      <c r="E43" s="2" t="n"/>
      <c r="F43" s="3" t="n"/>
      <c r="G43" s="12" t="n"/>
      <c r="H43" s="22">
        <f>G43-F43</f>
        <v/>
      </c>
    </row>
    <row r="44">
      <c r="A44" s="2" t="n"/>
      <c r="B44" s="2" t="n"/>
      <c r="C44" s="2" t="n"/>
      <c r="D44" s="2" t="n"/>
      <c r="E44" s="2" t="n"/>
      <c r="F44" s="3" t="n"/>
      <c r="G44" s="12" t="n"/>
      <c r="H44" s="22">
        <f>G44-F44</f>
        <v/>
      </c>
    </row>
    <row r="45">
      <c r="A45" s="2" t="n"/>
      <c r="B45" s="2" t="n"/>
      <c r="C45" s="2" t="n"/>
      <c r="D45" s="2" t="n"/>
      <c r="E45" s="2" t="n"/>
      <c r="F45" s="3" t="n"/>
      <c r="G45" s="12" t="n"/>
      <c r="H45" s="22">
        <f>G45-F45</f>
        <v/>
      </c>
    </row>
    <row r="46">
      <c r="A46" s="2" t="n"/>
      <c r="B46" s="2" t="n"/>
      <c r="C46" s="2" t="n"/>
      <c r="D46" s="2" t="n"/>
      <c r="E46" s="2" t="n"/>
      <c r="F46" s="3" t="n"/>
      <c r="G46" s="12" t="n"/>
      <c r="H46" s="22">
        <f>G46-F46</f>
        <v/>
      </c>
    </row>
    <row r="47">
      <c r="A47" s="2" t="n"/>
      <c r="B47" s="2" t="n"/>
      <c r="C47" s="2" t="n"/>
      <c r="D47" s="2" t="n"/>
      <c r="E47" s="2" t="n"/>
      <c r="F47" s="3" t="n"/>
      <c r="G47" s="12" t="n"/>
      <c r="H47" s="22">
        <f>G47-F47</f>
        <v/>
      </c>
    </row>
    <row r="48">
      <c r="A48" s="2" t="n"/>
      <c r="B48" s="2" t="n"/>
      <c r="C48" s="2" t="n"/>
      <c r="D48" s="2" t="n"/>
      <c r="E48" s="2" t="n"/>
      <c r="F48" s="3" t="n"/>
      <c r="G48" s="12" t="n"/>
      <c r="H48" s="22">
        <f>G48-F48</f>
        <v/>
      </c>
    </row>
    <row r="49">
      <c r="A49" s="2" t="n"/>
      <c r="B49" s="2" t="n"/>
      <c r="C49" s="2" t="n"/>
      <c r="D49" s="2" t="n"/>
      <c r="E49" s="2" t="n"/>
      <c r="F49" s="3" t="n"/>
      <c r="G49" s="12" t="n"/>
      <c r="H49" s="22">
        <f>G49-F49</f>
        <v/>
      </c>
    </row>
    <row r="50">
      <c r="A50" s="2" t="n"/>
      <c r="B50" s="2" t="n"/>
      <c r="C50" s="2" t="n"/>
      <c r="D50" s="2" t="n"/>
      <c r="E50" s="2" t="n"/>
      <c r="F50" s="3" t="n"/>
      <c r="G50" s="12" t="n"/>
      <c r="H50" s="22">
        <f>G50-F50</f>
        <v/>
      </c>
    </row>
    <row r="51">
      <c r="A51" s="2" t="n"/>
      <c r="B51" s="2" t="n"/>
      <c r="C51" s="2" t="n"/>
      <c r="D51" s="2" t="n"/>
      <c r="E51" s="2" t="n"/>
      <c r="F51" s="3" t="n"/>
      <c r="G51" s="12" t="n"/>
      <c r="H51" s="22">
        <f>G51-F51</f>
        <v/>
      </c>
    </row>
    <row r="52">
      <c r="A52" s="2" t="n"/>
      <c r="B52" s="2" t="n"/>
      <c r="C52" s="2" t="n"/>
      <c r="D52" s="2" t="n"/>
      <c r="E52" s="2" t="n"/>
      <c r="F52" s="3" t="n"/>
      <c r="G52" s="12" t="n"/>
      <c r="H52" s="22">
        <f>G52-F52</f>
        <v/>
      </c>
    </row>
    <row r="53">
      <c r="A53" s="2" t="n"/>
      <c r="B53" s="2" t="n"/>
      <c r="C53" s="2" t="n"/>
      <c r="D53" s="2" t="n"/>
      <c r="E53" s="2" t="n"/>
      <c r="F53" s="3" t="n"/>
      <c r="G53" s="12" t="n"/>
      <c r="H53" s="22">
        <f>G53-F53</f>
        <v/>
      </c>
    </row>
    <row r="54">
      <c r="A54" s="2" t="n"/>
      <c r="B54" s="2" t="n"/>
      <c r="C54" s="2" t="n"/>
      <c r="D54" s="2" t="n"/>
      <c r="E54" s="2" t="n"/>
      <c r="F54" s="3" t="n"/>
      <c r="G54" s="12" t="n"/>
      <c r="H54" s="22">
        <f>G54-F54</f>
        <v/>
      </c>
    </row>
    <row r="55">
      <c r="A55" s="2" t="n"/>
      <c r="B55" s="2" t="n"/>
      <c r="C55" s="2" t="n"/>
      <c r="D55" s="2" t="n"/>
      <c r="E55" s="2" t="n"/>
      <c r="F55" s="3" t="n"/>
      <c r="G55" s="12" t="n"/>
      <c r="H55" s="22">
        <f>G55-F55</f>
        <v/>
      </c>
    </row>
    <row r="56">
      <c r="A56" s="2" t="n"/>
      <c r="B56" s="2" t="n"/>
      <c r="C56" s="2" t="n"/>
      <c r="D56" s="2" t="n"/>
      <c r="E56" s="2" t="n"/>
      <c r="F56" s="3" t="n"/>
      <c r="G56" s="12" t="n"/>
      <c r="H56" s="22">
        <f>G56-F56</f>
        <v/>
      </c>
    </row>
    <row r="57">
      <c r="A57" s="2" t="n"/>
      <c r="B57" s="2" t="n"/>
      <c r="C57" s="2" t="n"/>
      <c r="D57" s="2" t="n"/>
      <c r="E57" s="2" t="n"/>
      <c r="F57" s="3" t="n"/>
      <c r="G57" s="12" t="n"/>
      <c r="H57" s="22">
        <f>G57-F57</f>
        <v/>
      </c>
    </row>
    <row r="58">
      <c r="A58" s="2" t="n"/>
      <c r="B58" s="2" t="n"/>
      <c r="C58" s="2" t="n"/>
      <c r="D58" s="2" t="n"/>
      <c r="E58" s="2" t="n"/>
      <c r="F58" s="3" t="n"/>
      <c r="G58" s="12" t="n"/>
      <c r="H58" s="22">
        <f>G58-F58</f>
        <v/>
      </c>
    </row>
    <row r="59">
      <c r="A59" s="2" t="n"/>
      <c r="B59" s="2" t="n"/>
      <c r="C59" s="2" t="n"/>
      <c r="D59" s="2" t="n"/>
      <c r="E59" s="2" t="n"/>
      <c r="F59" s="3" t="n"/>
      <c r="G59" s="12" t="n"/>
      <c r="H59" s="22">
        <f>G59-F59</f>
        <v/>
      </c>
    </row>
    <row r="60">
      <c r="A60" s="2" t="n"/>
      <c r="B60" s="2" t="n"/>
      <c r="C60" s="2" t="n"/>
      <c r="D60" s="2" t="n"/>
      <c r="E60" s="2" t="n"/>
      <c r="F60" s="3" t="n"/>
      <c r="G60" s="12" t="n"/>
      <c r="H60" s="22">
        <f>G60-F60</f>
        <v/>
      </c>
    </row>
    <row r="61">
      <c r="A61" s="2" t="n"/>
      <c r="B61" s="2" t="n"/>
      <c r="C61" s="2" t="n"/>
      <c r="D61" s="2" t="n"/>
      <c r="E61" s="2" t="n"/>
      <c r="F61" s="3" t="n"/>
      <c r="G61" s="12" t="n"/>
      <c r="H61" s="22">
        <f>G61-F61</f>
        <v/>
      </c>
    </row>
    <row r="62">
      <c r="A62" s="2" t="n"/>
      <c r="B62" s="2" t="n"/>
      <c r="C62" s="2" t="n"/>
      <c r="D62" s="2" t="n"/>
      <c r="E62" s="2" t="n"/>
      <c r="F62" s="3" t="n"/>
      <c r="G62" s="12" t="n"/>
      <c r="H62" s="22">
        <f>G62-F62</f>
        <v/>
      </c>
    </row>
    <row r="63">
      <c r="A63" s="2" t="n"/>
      <c r="B63" s="2" t="n"/>
      <c r="C63" s="2" t="n"/>
      <c r="D63" s="2" t="n"/>
      <c r="E63" s="2" t="n"/>
      <c r="F63" s="3" t="n"/>
      <c r="G63" s="12" t="n"/>
      <c r="H63" s="22">
        <f>G63-F63</f>
        <v/>
      </c>
    </row>
    <row r="64">
      <c r="A64" s="2" t="n"/>
      <c r="B64" s="2" t="n"/>
      <c r="C64" s="2" t="n"/>
      <c r="D64" s="2" t="n"/>
      <c r="E64" s="2" t="n"/>
      <c r="F64" s="3" t="n"/>
      <c r="G64" s="12" t="n"/>
      <c r="H64" s="22">
        <f>G64-F64</f>
        <v/>
      </c>
    </row>
    <row r="65">
      <c r="A65" s="2" t="n"/>
      <c r="B65" s="2" t="n"/>
      <c r="C65" s="2" t="n"/>
      <c r="D65" s="2" t="n"/>
      <c r="E65" s="2" t="n"/>
      <c r="F65" s="3" t="n"/>
      <c r="G65" s="12" t="n"/>
      <c r="H65" s="22">
        <f>G65-F65</f>
        <v/>
      </c>
    </row>
    <row r="66">
      <c r="A66" s="2" t="n"/>
      <c r="B66" s="2" t="n"/>
      <c r="C66" s="2" t="n"/>
      <c r="D66" s="2" t="n"/>
      <c r="E66" s="2" t="n"/>
      <c r="F66" s="3" t="n"/>
      <c r="G66" s="12" t="n"/>
      <c r="H66" s="22">
        <f>G66-F66</f>
        <v/>
      </c>
    </row>
    <row r="67">
      <c r="A67" s="2" t="n"/>
      <c r="B67" s="2" t="n"/>
      <c r="C67" s="2" t="n"/>
      <c r="D67" s="2" t="n"/>
      <c r="E67" s="2" t="n"/>
      <c r="F67" s="3" t="n"/>
      <c r="G67" s="12" t="n"/>
      <c r="H67" s="22">
        <f>G67-F67</f>
        <v/>
      </c>
    </row>
    <row r="68">
      <c r="A68" s="2" t="n"/>
      <c r="B68" s="2" t="n"/>
      <c r="C68" s="2" t="n"/>
      <c r="D68" s="2" t="n"/>
      <c r="E68" s="2" t="n"/>
      <c r="F68" s="3" t="n"/>
      <c r="G68" s="12" t="n"/>
      <c r="H68" s="22">
        <f>G68-F68</f>
        <v/>
      </c>
    </row>
    <row r="69">
      <c r="A69" s="2" t="n"/>
      <c r="B69" s="2" t="n"/>
      <c r="C69" s="2" t="n"/>
      <c r="D69" s="2" t="n"/>
      <c r="E69" s="2" t="n"/>
      <c r="F69" s="3" t="n"/>
      <c r="G69" s="12" t="n"/>
      <c r="H69" s="22">
        <f>G69-F69</f>
        <v/>
      </c>
    </row>
    <row r="70">
      <c r="A70" s="2" t="n"/>
      <c r="B70" s="2" t="n"/>
      <c r="C70" s="2" t="n"/>
      <c r="D70" s="2" t="n"/>
      <c r="E70" s="2" t="n"/>
      <c r="F70" s="3" t="n"/>
      <c r="G70" s="12" t="n"/>
      <c r="H70" s="22">
        <f>G70-F70</f>
        <v/>
      </c>
    </row>
    <row r="71">
      <c r="A71" s="2" t="n"/>
      <c r="B71" s="2" t="n"/>
      <c r="C71" s="2" t="n"/>
      <c r="D71" s="2" t="n"/>
      <c r="E71" s="2" t="n"/>
      <c r="F71" s="3" t="n"/>
      <c r="G71" s="12" t="n"/>
      <c r="H71" s="22">
        <f>G71-F71</f>
        <v/>
      </c>
    </row>
    <row r="72">
      <c r="A72" s="2" t="n"/>
      <c r="B72" s="2" t="n"/>
      <c r="C72" s="2" t="n"/>
      <c r="D72" s="2" t="n"/>
      <c r="E72" s="2" t="n"/>
      <c r="F72" s="3" t="n"/>
      <c r="G72" s="12" t="n"/>
      <c r="H72" s="22">
        <f>G72-F72</f>
        <v/>
      </c>
    </row>
    <row r="73">
      <c r="A73" s="2" t="n"/>
      <c r="B73" s="2" t="n"/>
      <c r="C73" s="2" t="n"/>
      <c r="D73" s="2" t="n"/>
      <c r="E73" s="2" t="n"/>
      <c r="F73" s="3" t="n"/>
      <c r="G73" s="12" t="n"/>
      <c r="H73" s="22">
        <f>G73-F73</f>
        <v/>
      </c>
    </row>
    <row r="74">
      <c r="A74" s="2" t="n"/>
      <c r="B74" s="2" t="n"/>
      <c r="C74" s="2" t="n"/>
      <c r="D74" s="2" t="n"/>
      <c r="E74" s="2" t="n"/>
      <c r="F74" s="3" t="n"/>
      <c r="G74" s="12" t="n"/>
      <c r="H74" s="22">
        <f>G74-F74</f>
        <v/>
      </c>
    </row>
    <row r="75">
      <c r="A75" s="2" t="n"/>
      <c r="B75" s="2" t="n"/>
      <c r="C75" s="2" t="n"/>
      <c r="D75" s="2" t="n"/>
      <c r="E75" s="2" t="n"/>
      <c r="F75" s="3" t="n"/>
      <c r="G75" s="12" t="n"/>
      <c r="H75" s="22">
        <f>G75-F75</f>
        <v/>
      </c>
    </row>
    <row r="76">
      <c r="A76" s="2" t="n"/>
      <c r="B76" s="2" t="n"/>
      <c r="C76" s="2" t="n"/>
      <c r="D76" s="2" t="n"/>
      <c r="E76" s="2" t="n"/>
      <c r="F76" s="3" t="n"/>
      <c r="G76" s="12" t="n"/>
      <c r="H76" s="22">
        <f>G76-F76</f>
        <v/>
      </c>
    </row>
    <row r="77">
      <c r="A77" s="2" t="n"/>
      <c r="B77" s="2" t="n"/>
      <c r="C77" s="2" t="n"/>
      <c r="D77" s="2" t="n"/>
      <c r="E77" s="2" t="n"/>
      <c r="F77" s="3" t="n"/>
      <c r="G77" s="12" t="n"/>
      <c r="H77" s="22">
        <f>G77-F77</f>
        <v/>
      </c>
    </row>
    <row r="78">
      <c r="A78" s="2" t="n"/>
      <c r="B78" s="2" t="n"/>
      <c r="C78" s="2" t="n"/>
      <c r="D78" s="2" t="n"/>
      <c r="E78" s="2" t="n"/>
      <c r="F78" s="3" t="n"/>
      <c r="G78" s="12" t="n"/>
      <c r="H78" s="22">
        <f>G78-F78</f>
        <v/>
      </c>
    </row>
    <row r="79">
      <c r="A79" s="2" t="n"/>
      <c r="B79" s="2" t="n"/>
      <c r="C79" s="2" t="n"/>
      <c r="D79" s="2" t="n"/>
      <c r="E79" s="2" t="n"/>
      <c r="F79" s="3" t="n"/>
      <c r="G79" s="12" t="n"/>
      <c r="H79" s="22">
        <f>G79-F79</f>
        <v/>
      </c>
    </row>
    <row r="80">
      <c r="A80" s="2" t="n"/>
      <c r="B80" s="2" t="n"/>
      <c r="C80" s="2" t="n"/>
      <c r="D80" s="2" t="n"/>
      <c r="E80" s="2" t="n"/>
      <c r="F80" s="3" t="n"/>
      <c r="G80" s="12" t="n"/>
      <c r="H80" s="22">
        <f>G80-F80</f>
        <v/>
      </c>
    </row>
    <row r="81">
      <c r="A81" s="2" t="n"/>
      <c r="B81" s="2" t="n"/>
      <c r="C81" s="2" t="n"/>
      <c r="D81" s="2" t="n"/>
      <c r="E81" s="2" t="n"/>
      <c r="F81" s="3" t="n"/>
      <c r="G81" s="12" t="n"/>
      <c r="H81" s="22">
        <f>G81-F81</f>
        <v/>
      </c>
    </row>
    <row r="82">
      <c r="A82" s="2" t="n"/>
      <c r="B82" s="2" t="n"/>
      <c r="C82" s="2" t="n"/>
      <c r="D82" s="2" t="n"/>
      <c r="E82" s="2" t="n"/>
      <c r="F82" s="3" t="n"/>
      <c r="G82" s="12" t="n"/>
      <c r="H82" s="22">
        <f>G82-F82</f>
        <v/>
      </c>
    </row>
    <row r="83">
      <c r="A83" s="2" t="n"/>
      <c r="B83" s="2" t="n"/>
      <c r="C83" s="2" t="n"/>
      <c r="D83" s="2" t="n"/>
      <c r="E83" s="2" t="n"/>
      <c r="F83" s="3" t="n"/>
      <c r="G83" s="12" t="n"/>
      <c r="H83" s="22">
        <f>G83-F83</f>
        <v/>
      </c>
    </row>
    <row r="84">
      <c r="A84" s="2" t="n"/>
      <c r="B84" s="2" t="n"/>
      <c r="C84" s="2" t="n"/>
      <c r="D84" s="2" t="n"/>
      <c r="E84" s="2" t="n"/>
      <c r="F84" s="3" t="n"/>
      <c r="G84" s="12" t="n"/>
      <c r="H84" s="22">
        <f>G84-F84</f>
        <v/>
      </c>
    </row>
    <row r="85">
      <c r="A85" s="2" t="n"/>
      <c r="B85" s="2" t="n"/>
      <c r="C85" s="2" t="n"/>
      <c r="D85" s="2" t="n"/>
      <c r="E85" s="2" t="n"/>
      <c r="F85" s="3" t="n"/>
      <c r="G85" s="12" t="n"/>
      <c r="H85" s="22">
        <f>G85-F85</f>
        <v/>
      </c>
    </row>
    <row r="86">
      <c r="A86" s="2" t="n"/>
      <c r="B86" s="2" t="n"/>
      <c r="C86" s="2" t="n"/>
      <c r="D86" s="2" t="n"/>
      <c r="E86" s="2" t="n"/>
      <c r="F86" s="3" t="n"/>
      <c r="G86" s="12" t="n"/>
      <c r="H86" s="22">
        <f>G86-F86</f>
        <v/>
      </c>
    </row>
    <row r="87">
      <c r="A87" s="2" t="n"/>
      <c r="B87" s="2" t="n"/>
      <c r="C87" s="2" t="n"/>
      <c r="D87" s="2" t="n"/>
      <c r="E87" s="2" t="n"/>
      <c r="F87" s="3" t="n"/>
      <c r="G87" s="12" t="n"/>
      <c r="H87" s="22">
        <f>G87-F87</f>
        <v/>
      </c>
    </row>
    <row r="88">
      <c r="A88" s="2" t="n"/>
      <c r="B88" s="2" t="n"/>
      <c r="C88" s="2" t="n"/>
      <c r="D88" s="2" t="n"/>
      <c r="E88" s="2" t="n"/>
      <c r="F88" s="3" t="n"/>
      <c r="G88" s="12" t="n"/>
      <c r="H88" s="22">
        <f>G88-F88</f>
        <v/>
      </c>
    </row>
    <row r="89">
      <c r="A89" s="2" t="n"/>
      <c r="B89" s="2" t="n"/>
      <c r="C89" s="2" t="n"/>
      <c r="D89" s="2" t="n"/>
      <c r="E89" s="2" t="n"/>
      <c r="F89" s="3" t="n"/>
      <c r="G89" s="12" t="n"/>
      <c r="H89" s="22">
        <f>G89-F89</f>
        <v/>
      </c>
    </row>
    <row r="90">
      <c r="A90" s="2" t="n"/>
      <c r="B90" s="2" t="n"/>
      <c r="C90" s="2" t="n"/>
      <c r="D90" s="2" t="n"/>
      <c r="E90" s="2" t="n"/>
      <c r="F90" s="3" t="n"/>
      <c r="G90" s="12" t="n"/>
      <c r="H90" s="22">
        <f>G90-F90</f>
        <v/>
      </c>
    </row>
    <row r="91">
      <c r="A91" s="2" t="n"/>
      <c r="B91" s="2" t="n"/>
      <c r="C91" s="2" t="n"/>
      <c r="D91" s="2" t="n"/>
      <c r="E91" s="2" t="n"/>
      <c r="F91" s="3" t="n"/>
      <c r="G91" s="12" t="n"/>
      <c r="H91" s="22">
        <f>G91-F91</f>
        <v/>
      </c>
    </row>
    <row r="92">
      <c r="A92" s="2" t="n"/>
      <c r="B92" s="2" t="n"/>
      <c r="C92" s="2" t="n"/>
      <c r="D92" s="2" t="n"/>
      <c r="E92" s="2" t="n"/>
      <c r="F92" s="3" t="n"/>
      <c r="G92" s="12" t="n"/>
      <c r="H92" s="22">
        <f>G92-F92</f>
        <v/>
      </c>
    </row>
    <row r="93">
      <c r="A93" s="2" t="n"/>
      <c r="B93" s="2" t="n"/>
      <c r="C93" s="2" t="n"/>
      <c r="D93" s="2" t="n"/>
      <c r="E93" s="2" t="n"/>
      <c r="F93" s="3" t="n"/>
      <c r="G93" s="12" t="n"/>
      <c r="H93" s="22">
        <f>G93-F93</f>
        <v/>
      </c>
    </row>
    <row r="94">
      <c r="A94" s="2" t="n"/>
      <c r="B94" s="2" t="n"/>
      <c r="C94" s="2" t="n"/>
      <c r="D94" s="2" t="n"/>
      <c r="E94" s="2" t="n"/>
      <c r="F94" s="3" t="n"/>
      <c r="G94" s="12" t="n"/>
      <c r="H94" s="22">
        <f>G94-F94</f>
        <v/>
      </c>
    </row>
    <row r="95">
      <c r="A95" s="2" t="n"/>
      <c r="B95" s="2" t="n"/>
      <c r="C95" s="2" t="n"/>
      <c r="D95" s="2" t="n"/>
      <c r="E95" s="2" t="n"/>
      <c r="F95" s="3" t="n"/>
      <c r="G95" s="12" t="n"/>
      <c r="H95" s="22">
        <f>G95-F95</f>
        <v/>
      </c>
    </row>
    <row r="96">
      <c r="A96" s="2" t="n"/>
      <c r="B96" s="2" t="n"/>
      <c r="C96" s="2" t="n"/>
      <c r="D96" s="2" t="n"/>
      <c r="E96" s="2" t="n"/>
      <c r="F96" s="3" t="n"/>
      <c r="G96" s="12" t="n"/>
      <c r="H96" s="22">
        <f>G96-F96</f>
        <v/>
      </c>
    </row>
    <row r="97">
      <c r="A97" s="2" t="n"/>
      <c r="B97" s="2" t="n"/>
      <c r="C97" s="2" t="n"/>
      <c r="D97" s="2" t="n"/>
      <c r="E97" s="2" t="n"/>
      <c r="F97" s="3" t="n"/>
      <c r="G97" s="12" t="n"/>
      <c r="H97" s="22">
        <f>G97-F97</f>
        <v/>
      </c>
    </row>
    <row r="98">
      <c r="A98" s="2" t="n"/>
      <c r="B98" s="2" t="n"/>
      <c r="C98" s="2" t="n"/>
      <c r="D98" s="2" t="n"/>
      <c r="E98" s="2" t="n"/>
      <c r="F98" s="3" t="n"/>
      <c r="G98" s="12" t="n"/>
      <c r="H98" s="22">
        <f>G98-F98</f>
        <v/>
      </c>
    </row>
    <row r="99">
      <c r="A99" s="2" t="n"/>
      <c r="B99" s="2" t="n"/>
      <c r="C99" s="2" t="n"/>
      <c r="D99" s="2" t="n"/>
      <c r="E99" s="2" t="n"/>
      <c r="F99" s="3" t="n"/>
      <c r="G99" s="12" t="n"/>
      <c r="H99" s="22">
        <f>G99-F99</f>
        <v/>
      </c>
    </row>
    <row r="100">
      <c r="A100" s="2" t="n"/>
      <c r="B100" s="2" t="n"/>
      <c r="C100" s="2" t="n"/>
      <c r="D100" s="2" t="n"/>
      <c r="E100" s="2" t="n"/>
      <c r="F100" s="3" t="n"/>
      <c r="G100" s="12" t="n"/>
      <c r="H100" s="22">
        <f>G100-F100</f>
        <v/>
      </c>
    </row>
    <row r="101">
      <c r="A101" s="2" t="n"/>
      <c r="B101" s="2" t="n"/>
      <c r="C101" s="2" t="n"/>
      <c r="D101" s="2" t="n"/>
      <c r="E101" s="2" t="n"/>
      <c r="F101" s="3" t="n"/>
      <c r="G101" s="12" t="n"/>
      <c r="H101" s="22">
        <f>G101-F101</f>
        <v/>
      </c>
    </row>
    <row r="102">
      <c r="A102" s="2" t="n"/>
      <c r="B102" s="2" t="n"/>
      <c r="C102" s="2" t="n"/>
      <c r="D102" s="2" t="n"/>
      <c r="E102" s="2" t="n"/>
      <c r="F102" s="3" t="n"/>
      <c r="G102" s="12" t="n"/>
      <c r="H102" s="22">
        <f>G102-F102</f>
        <v/>
      </c>
    </row>
    <row r="103">
      <c r="A103" s="2" t="n"/>
      <c r="B103" s="2" t="n"/>
      <c r="C103" s="2" t="n"/>
      <c r="D103" s="2" t="n"/>
      <c r="E103" s="2" t="n"/>
      <c r="F103" s="3" t="n"/>
      <c r="G103" s="12" t="n"/>
      <c r="H103" s="22">
        <f>G103-F103</f>
        <v/>
      </c>
    </row>
    <row r="104">
      <c r="A104" s="2" t="n"/>
      <c r="B104" s="2" t="n"/>
      <c r="C104" s="2" t="n"/>
      <c r="D104" s="2" t="n"/>
      <c r="E104" s="2" t="n"/>
      <c r="F104" s="3" t="n"/>
      <c r="G104" s="12" t="n"/>
      <c r="H104" s="22">
        <f>G104-F104</f>
        <v/>
      </c>
    </row>
    <row r="105">
      <c r="A105" s="2" t="n"/>
      <c r="B105" s="2" t="n"/>
      <c r="C105" s="2" t="n"/>
      <c r="D105" s="2" t="n"/>
      <c r="E105" s="2" t="n"/>
      <c r="F105" s="3" t="n"/>
      <c r="G105" s="12" t="n"/>
      <c r="H105" s="22">
        <f>G105-F105</f>
        <v/>
      </c>
    </row>
    <row r="106">
      <c r="A106" s="2" t="n"/>
      <c r="B106" s="2" t="n"/>
      <c r="C106" s="2" t="n"/>
      <c r="D106" s="2" t="n"/>
      <c r="E106" s="2" t="n"/>
      <c r="F106" s="3" t="n"/>
      <c r="G106" s="12" t="n"/>
      <c r="H106" s="22">
        <f>G106-F106</f>
        <v/>
      </c>
    </row>
    <row r="107">
      <c r="A107" s="2" t="n"/>
      <c r="B107" s="2" t="n"/>
      <c r="C107" s="2" t="n"/>
      <c r="D107" s="2" t="n"/>
      <c r="E107" s="2" t="n"/>
      <c r="F107" s="3" t="n"/>
      <c r="G107" s="12" t="n"/>
      <c r="H107" s="22">
        <f>G107-F107</f>
        <v/>
      </c>
    </row>
    <row r="108">
      <c r="A108" s="2" t="n"/>
      <c r="B108" s="2" t="n"/>
      <c r="C108" s="2" t="n"/>
      <c r="D108" s="2" t="n"/>
      <c r="E108" s="2" t="n"/>
      <c r="F108" s="3" t="n"/>
      <c r="G108" s="12" t="n"/>
      <c r="H108" s="22">
        <f>G108-F108</f>
        <v/>
      </c>
    </row>
    <row r="109">
      <c r="A109" s="2" t="n"/>
      <c r="B109" s="2" t="n"/>
      <c r="C109" s="2" t="n"/>
      <c r="D109" s="2" t="n"/>
      <c r="E109" s="2" t="n"/>
      <c r="F109" s="3" t="n"/>
      <c r="G109" s="12" t="n"/>
      <c r="H109" s="22">
        <f>G109-F109</f>
        <v/>
      </c>
    </row>
    <row r="110">
      <c r="A110" s="2" t="n"/>
      <c r="B110" s="2" t="n"/>
      <c r="C110" s="2" t="n"/>
      <c r="D110" s="2" t="n"/>
      <c r="E110" s="2" t="n"/>
      <c r="F110" s="3" t="n"/>
      <c r="G110" s="12" t="n"/>
      <c r="H110" s="22">
        <f>G110-F110</f>
        <v/>
      </c>
    </row>
    <row r="111">
      <c r="A111" s="2" t="n"/>
      <c r="B111" s="2" t="n"/>
      <c r="C111" s="2" t="n"/>
      <c r="D111" s="2" t="n"/>
      <c r="E111" s="2" t="n"/>
      <c r="F111" s="3" t="n"/>
      <c r="G111" s="12" t="n"/>
      <c r="H111" s="22">
        <f>G111-F111</f>
        <v/>
      </c>
    </row>
    <row r="112">
      <c r="A112" s="2" t="n"/>
      <c r="B112" s="2" t="n"/>
      <c r="C112" s="2" t="n"/>
      <c r="D112" s="2" t="n"/>
      <c r="E112" s="2" t="n"/>
      <c r="F112" s="3" t="n"/>
      <c r="G112" s="12" t="n"/>
      <c r="H112" s="22">
        <f>G112-F112</f>
        <v/>
      </c>
    </row>
    <row r="113">
      <c r="A113" s="2" t="n"/>
      <c r="B113" s="2" t="n"/>
      <c r="C113" s="2" t="n"/>
      <c r="D113" s="2" t="n"/>
      <c r="E113" s="2" t="n"/>
      <c r="F113" s="3" t="n"/>
      <c r="G113" s="12" t="n"/>
      <c r="H113" s="22">
        <f>G113-F113</f>
        <v/>
      </c>
    </row>
    <row r="114">
      <c r="A114" s="2" t="n"/>
      <c r="B114" s="2" t="n"/>
      <c r="C114" s="2" t="n"/>
      <c r="D114" s="2" t="n"/>
      <c r="E114" s="2" t="n"/>
      <c r="F114" s="3" t="n"/>
      <c r="G114" s="12" t="n"/>
      <c r="H114" s="22">
        <f>G114-F114</f>
        <v/>
      </c>
    </row>
    <row r="115">
      <c r="A115" s="2" t="n"/>
      <c r="B115" s="2" t="n"/>
      <c r="C115" s="2" t="n"/>
      <c r="D115" s="2" t="n"/>
      <c r="E115" s="2" t="n"/>
      <c r="F115" s="3" t="n"/>
      <c r="G115" s="12" t="n"/>
      <c r="H115" s="22">
        <f>G115-F115</f>
        <v/>
      </c>
    </row>
    <row r="116">
      <c r="A116" s="2" t="n"/>
      <c r="B116" s="2" t="n"/>
      <c r="C116" s="2" t="n"/>
      <c r="D116" s="2" t="n"/>
      <c r="E116" s="2" t="n"/>
      <c r="F116" s="3" t="n"/>
      <c r="G116" s="12" t="n"/>
      <c r="H116" s="22">
        <f>G116-F116</f>
        <v/>
      </c>
    </row>
    <row r="117">
      <c r="A117" s="2" t="n"/>
      <c r="B117" s="2" t="n"/>
      <c r="C117" s="2" t="n"/>
      <c r="D117" s="2" t="n"/>
      <c r="E117" s="2" t="n"/>
      <c r="F117" s="3" t="n"/>
      <c r="G117" s="12" t="n"/>
      <c r="H117" s="22">
        <f>G117-F117</f>
        <v/>
      </c>
    </row>
    <row r="118">
      <c r="A118" s="2" t="n"/>
      <c r="B118" s="2" t="n"/>
      <c r="C118" s="2" t="n"/>
      <c r="D118" s="2" t="n"/>
      <c r="E118" s="2" t="n"/>
      <c r="F118" s="3" t="n"/>
      <c r="G118" s="12" t="n"/>
      <c r="H118" s="22">
        <f>G118-F118</f>
        <v/>
      </c>
    </row>
    <row r="119">
      <c r="A119" s="2" t="n"/>
      <c r="B119" s="2" t="n"/>
      <c r="C119" s="2" t="n"/>
      <c r="D119" s="2" t="n"/>
      <c r="E119" s="2" t="n"/>
      <c r="F119" s="3" t="n"/>
      <c r="G119" s="12" t="n"/>
      <c r="H119" s="22">
        <f>G119-F119</f>
        <v/>
      </c>
    </row>
    <row r="120">
      <c r="A120" s="2" t="n"/>
      <c r="B120" s="2" t="n"/>
      <c r="C120" s="2" t="n"/>
      <c r="D120" s="2" t="n"/>
      <c r="E120" s="2" t="n"/>
      <c r="F120" s="3" t="n"/>
      <c r="G120" s="12" t="n"/>
      <c r="H120" s="22">
        <f>G120-F120</f>
        <v/>
      </c>
    </row>
    <row r="121">
      <c r="A121" s="2" t="n"/>
      <c r="B121" s="2" t="n"/>
      <c r="C121" s="2" t="n"/>
      <c r="D121" s="2" t="n"/>
      <c r="E121" s="2" t="n"/>
      <c r="F121" s="3" t="n"/>
      <c r="G121" s="12" t="n"/>
      <c r="H121" s="22">
        <f>G121-F121</f>
        <v/>
      </c>
    </row>
    <row r="122">
      <c r="A122" s="2" t="n"/>
      <c r="B122" s="2" t="n"/>
      <c r="C122" s="2" t="n"/>
      <c r="D122" s="2" t="n"/>
      <c r="E122" s="2" t="n"/>
      <c r="F122" s="3" t="n"/>
      <c r="G122" s="12" t="n"/>
      <c r="H122" s="22">
        <f>G122-F122</f>
        <v/>
      </c>
    </row>
    <row r="123">
      <c r="A123" s="2" t="n"/>
      <c r="B123" s="2" t="n"/>
      <c r="C123" s="2" t="n"/>
      <c r="D123" s="2" t="n"/>
      <c r="E123" s="2" t="n"/>
      <c r="F123" s="3" t="n"/>
      <c r="G123" s="12" t="n"/>
      <c r="H123" s="22">
        <f>G123-F123</f>
        <v/>
      </c>
    </row>
    <row r="124">
      <c r="A124" s="2" t="n"/>
      <c r="B124" s="2" t="n"/>
      <c r="C124" s="2" t="n"/>
      <c r="D124" s="2" t="n"/>
      <c r="E124" s="2" t="n"/>
      <c r="F124" s="3" t="n"/>
      <c r="G124" s="12" t="n"/>
      <c r="H124" s="22">
        <f>G124-F124</f>
        <v/>
      </c>
    </row>
    <row r="125">
      <c r="A125" s="2" t="n"/>
      <c r="B125" s="2" t="n"/>
      <c r="C125" s="2" t="n"/>
      <c r="D125" s="2" t="n"/>
      <c r="E125" s="2" t="n"/>
      <c r="F125" s="3" t="n"/>
      <c r="G125" s="12" t="n"/>
      <c r="H125" s="22">
        <f>G125-F125</f>
        <v/>
      </c>
    </row>
    <row r="126">
      <c r="A126" s="2" t="n"/>
      <c r="B126" s="2" t="n"/>
      <c r="C126" s="2" t="n"/>
      <c r="D126" s="2" t="n"/>
      <c r="E126" s="2" t="n"/>
      <c r="F126" s="3" t="n"/>
      <c r="G126" s="12" t="n"/>
      <c r="H126" s="22">
        <f>G126-F126</f>
        <v/>
      </c>
    </row>
    <row r="127">
      <c r="A127" s="2" t="n"/>
      <c r="B127" s="2" t="n"/>
      <c r="C127" s="2" t="n"/>
      <c r="D127" s="2" t="n"/>
      <c r="E127" s="2" t="n"/>
      <c r="F127" s="3" t="n"/>
      <c r="G127" s="12" t="n"/>
      <c r="H127" s="22">
        <f>G127-F127</f>
        <v/>
      </c>
    </row>
    <row r="128">
      <c r="A128" s="2" t="n"/>
      <c r="B128" s="2" t="n"/>
      <c r="C128" s="2" t="n"/>
      <c r="D128" s="2" t="n"/>
      <c r="E128" s="2" t="n"/>
      <c r="F128" s="3" t="n"/>
      <c r="G128" s="12" t="n"/>
      <c r="H128" s="22">
        <f>G128-F128</f>
        <v/>
      </c>
    </row>
    <row r="129">
      <c r="A129" s="2" t="n"/>
      <c r="B129" s="2" t="n"/>
      <c r="C129" s="2" t="n"/>
      <c r="D129" s="2" t="n"/>
      <c r="E129" s="2" t="n"/>
      <c r="F129" s="3" t="n"/>
      <c r="G129" s="12" t="n"/>
      <c r="H129" s="22">
        <f>G129-F129</f>
        <v/>
      </c>
    </row>
    <row r="130">
      <c r="A130" s="2" t="n"/>
      <c r="B130" s="2" t="n"/>
      <c r="C130" s="2" t="n"/>
      <c r="D130" s="2" t="n"/>
      <c r="E130" s="2" t="n"/>
      <c r="F130" s="3" t="n"/>
      <c r="G130" s="12" t="n"/>
      <c r="H130" s="22">
        <f>G130-F130</f>
        <v/>
      </c>
    </row>
    <row r="131">
      <c r="A131" s="2" t="n"/>
      <c r="B131" s="2" t="n"/>
      <c r="C131" s="2" t="n"/>
      <c r="D131" s="2" t="n"/>
      <c r="E131" s="2" t="n"/>
      <c r="F131" s="3" t="n"/>
      <c r="G131" s="12" t="n"/>
      <c r="H131" s="22">
        <f>G131-F131</f>
        <v/>
      </c>
    </row>
    <row r="132">
      <c r="A132" s="2" t="n"/>
      <c r="B132" s="2" t="n"/>
      <c r="C132" s="2" t="n"/>
      <c r="D132" s="2" t="n"/>
      <c r="E132" s="2" t="n"/>
      <c r="F132" s="3" t="n"/>
      <c r="G132" s="12" t="n"/>
      <c r="H132" s="22">
        <f>G132-F132</f>
        <v/>
      </c>
    </row>
    <row r="133">
      <c r="A133" s="2" t="n"/>
      <c r="B133" s="2" t="n"/>
      <c r="C133" s="2" t="n"/>
      <c r="D133" s="2" t="n"/>
      <c r="E133" s="2" t="n"/>
      <c r="F133" s="3" t="n"/>
      <c r="G133" s="12" t="n"/>
      <c r="H133" s="22">
        <f>G133-F133</f>
        <v/>
      </c>
    </row>
    <row r="134">
      <c r="A134" s="2" t="n"/>
      <c r="B134" s="2" t="n"/>
      <c r="C134" s="2" t="n"/>
      <c r="D134" s="2" t="n"/>
      <c r="E134" s="2" t="n"/>
      <c r="F134" s="3" t="n"/>
      <c r="G134" s="12" t="n"/>
      <c r="H134" s="22">
        <f>G134-F134</f>
        <v/>
      </c>
    </row>
    <row r="135">
      <c r="A135" s="2" t="n"/>
      <c r="B135" s="2" t="n"/>
      <c r="C135" s="2" t="n"/>
      <c r="D135" s="2" t="n"/>
      <c r="E135" s="2" t="n"/>
      <c r="F135" s="3" t="n"/>
      <c r="G135" s="12" t="n"/>
      <c r="H135" s="22">
        <f>G135-F135</f>
        <v/>
      </c>
    </row>
    <row r="136">
      <c r="A136" s="2" t="n"/>
      <c r="B136" s="2" t="n"/>
      <c r="C136" s="2" t="n"/>
      <c r="D136" s="2" t="n"/>
      <c r="E136" s="2" t="n"/>
      <c r="F136" s="3" t="n"/>
      <c r="G136" s="12" t="n"/>
      <c r="H136" s="22">
        <f>G136-F136</f>
        <v/>
      </c>
    </row>
    <row r="137">
      <c r="A137" s="2" t="n"/>
      <c r="B137" s="2" t="n"/>
      <c r="C137" s="2" t="n"/>
      <c r="D137" s="2" t="n"/>
      <c r="E137" s="2" t="n"/>
      <c r="F137" s="3" t="n"/>
      <c r="G137" s="12" t="n"/>
      <c r="H137" s="22">
        <f>G137-F137</f>
        <v/>
      </c>
    </row>
    <row r="138">
      <c r="A138" s="2" t="n"/>
      <c r="B138" s="2" t="n"/>
      <c r="C138" s="2" t="n"/>
      <c r="D138" s="2" t="n"/>
      <c r="E138" s="2" t="n"/>
      <c r="F138" s="3" t="n"/>
      <c r="G138" s="12" t="n"/>
      <c r="H138" s="22">
        <f>G138-F138</f>
        <v/>
      </c>
    </row>
    <row r="139">
      <c r="A139" s="2" t="n"/>
      <c r="B139" s="2" t="n"/>
      <c r="C139" s="2" t="n"/>
      <c r="D139" s="2" t="n"/>
      <c r="E139" s="2" t="n"/>
      <c r="F139" s="3" t="n"/>
      <c r="G139" s="12" t="n"/>
      <c r="H139" s="22">
        <f>G139-F139</f>
        <v/>
      </c>
    </row>
    <row r="140">
      <c r="A140" s="2" t="n"/>
      <c r="B140" s="2" t="n"/>
      <c r="C140" s="2" t="n"/>
      <c r="D140" s="2" t="n"/>
      <c r="E140" s="2" t="n"/>
      <c r="F140" s="3" t="n"/>
      <c r="G140" s="12" t="n"/>
      <c r="H140" s="22">
        <f>G140-F140</f>
        <v/>
      </c>
    </row>
    <row r="141">
      <c r="A141" s="2" t="n"/>
      <c r="B141" s="2" t="n"/>
      <c r="C141" s="2" t="n"/>
      <c r="D141" s="2" t="n"/>
      <c r="E141" s="2" t="n"/>
      <c r="F141" s="3" t="n"/>
      <c r="G141" s="12" t="n"/>
      <c r="H141" s="22">
        <f>G141-F141</f>
        <v/>
      </c>
    </row>
    <row r="142">
      <c r="A142" s="2" t="n"/>
      <c r="B142" s="2" t="n"/>
      <c r="C142" s="2" t="n"/>
      <c r="D142" s="2" t="n"/>
      <c r="E142" s="2" t="n"/>
      <c r="F142" s="3" t="n"/>
      <c r="G142" s="12" t="n"/>
      <c r="H142" s="22">
        <f>G142-F142</f>
        <v/>
      </c>
    </row>
    <row r="143">
      <c r="A143" s="2" t="n"/>
      <c r="B143" s="2" t="n"/>
      <c r="C143" s="2" t="n"/>
      <c r="D143" s="2" t="n"/>
      <c r="E143" s="2" t="n"/>
      <c r="F143" s="3" t="n"/>
      <c r="G143" s="12" t="n"/>
      <c r="H143" s="22">
        <f>G143-F143</f>
        <v/>
      </c>
    </row>
    <row r="144">
      <c r="A144" s="2" t="n"/>
      <c r="B144" s="2" t="n"/>
      <c r="C144" s="2" t="n"/>
      <c r="D144" s="2" t="n"/>
      <c r="E144" s="2" t="n"/>
      <c r="F144" s="3" t="n"/>
      <c r="G144" s="12" t="n"/>
      <c r="H144" s="22">
        <f>G144-F144</f>
        <v/>
      </c>
    </row>
    <row r="145">
      <c r="A145" s="2" t="n"/>
      <c r="B145" s="2" t="n"/>
      <c r="C145" s="2" t="n"/>
      <c r="D145" s="2" t="n"/>
      <c r="E145" s="2" t="n"/>
      <c r="F145" s="3" t="n"/>
      <c r="G145" s="12" t="n"/>
      <c r="H145" s="22">
        <f>G145-F145</f>
        <v/>
      </c>
    </row>
    <row r="146">
      <c r="A146" s="2" t="n"/>
      <c r="B146" s="2" t="n"/>
      <c r="C146" s="2" t="n"/>
      <c r="D146" s="2" t="n"/>
      <c r="E146" s="2" t="n"/>
      <c r="F146" s="3" t="n"/>
      <c r="G146" s="12" t="n"/>
      <c r="H146" s="22">
        <f>G146-F146</f>
        <v/>
      </c>
    </row>
    <row r="147">
      <c r="A147" s="2" t="n"/>
      <c r="B147" s="2" t="n"/>
      <c r="C147" s="2" t="n"/>
      <c r="D147" s="2" t="n"/>
      <c r="E147" s="2" t="n"/>
      <c r="F147" s="3" t="n"/>
      <c r="G147" s="12" t="n"/>
      <c r="H147" s="22">
        <f>G147-F147</f>
        <v/>
      </c>
    </row>
    <row r="148">
      <c r="A148" s="2" t="n"/>
      <c r="B148" s="2" t="n"/>
      <c r="C148" s="2" t="n"/>
      <c r="D148" s="2" t="n"/>
      <c r="E148" s="2" t="n"/>
      <c r="F148" s="3" t="n"/>
      <c r="G148" s="12" t="n"/>
      <c r="H148" s="22">
        <f>G148-F148</f>
        <v/>
      </c>
    </row>
    <row r="149">
      <c r="A149" s="2" t="n"/>
      <c r="B149" s="2" t="n"/>
      <c r="C149" s="2" t="n"/>
      <c r="D149" s="2" t="n"/>
      <c r="E149" s="2" t="n"/>
      <c r="F149" s="3" t="n"/>
      <c r="G149" s="12" t="n"/>
      <c r="H149" s="22">
        <f>G149-F149</f>
        <v/>
      </c>
    </row>
    <row r="150">
      <c r="A150" s="2" t="n"/>
      <c r="B150" s="2" t="n"/>
      <c r="C150" s="2" t="n"/>
      <c r="D150" s="2" t="n"/>
      <c r="E150" s="2" t="n"/>
      <c r="F150" s="3" t="n"/>
      <c r="G150" s="12" t="n"/>
      <c r="H150" s="22">
        <f>G150-F150</f>
        <v/>
      </c>
    </row>
    <row r="151">
      <c r="A151" s="2" t="n"/>
      <c r="B151" s="2" t="n"/>
      <c r="C151" s="2" t="n"/>
      <c r="D151" s="2" t="n"/>
      <c r="E151" s="2" t="n"/>
      <c r="F151" s="3" t="n"/>
      <c r="G151" s="12" t="n"/>
      <c r="H151" s="22">
        <f>G151-F151</f>
        <v/>
      </c>
    </row>
    <row r="152">
      <c r="A152" s="2" t="n"/>
      <c r="B152" s="2" t="n"/>
      <c r="C152" s="2" t="n"/>
      <c r="D152" s="2" t="n"/>
      <c r="E152" s="2" t="n"/>
      <c r="F152" s="3" t="n"/>
      <c r="G152" s="12" t="n"/>
      <c r="H152" s="22">
        <f>G152-F152</f>
        <v/>
      </c>
    </row>
    <row r="153">
      <c r="A153" s="2" t="n"/>
      <c r="B153" s="2" t="n"/>
      <c r="C153" s="2" t="n"/>
      <c r="D153" s="2" t="n"/>
      <c r="E153" s="2" t="n"/>
      <c r="F153" s="3" t="n"/>
      <c r="G153" s="12" t="n"/>
      <c r="H153" s="22">
        <f>G153-F153</f>
        <v/>
      </c>
    </row>
    <row r="154">
      <c r="A154" s="2" t="n"/>
      <c r="B154" s="2" t="n"/>
      <c r="C154" s="2" t="n"/>
      <c r="D154" s="2" t="n"/>
      <c r="E154" s="2" t="n"/>
      <c r="F154" s="3" t="n"/>
      <c r="G154" s="12" t="n"/>
      <c r="H154" s="22">
        <f>G154-F154</f>
        <v/>
      </c>
    </row>
    <row r="155">
      <c r="A155" s="2" t="n"/>
      <c r="B155" s="2" t="n"/>
      <c r="C155" s="2" t="n"/>
      <c r="D155" s="2" t="n"/>
      <c r="E155" s="2" t="n"/>
      <c r="F155" s="3" t="n"/>
      <c r="G155" s="12" t="n"/>
      <c r="H155" s="22">
        <f>G155-F155</f>
        <v/>
      </c>
    </row>
    <row r="156">
      <c r="A156" s="2" t="n"/>
      <c r="B156" s="2" t="n"/>
      <c r="C156" s="2" t="n"/>
      <c r="D156" s="2" t="n"/>
      <c r="E156" s="2" t="n"/>
      <c r="F156" s="3" t="n"/>
      <c r="G156" s="12" t="n"/>
      <c r="H156" s="22">
        <f>G156-F156</f>
        <v/>
      </c>
    </row>
    <row r="157">
      <c r="A157" s="2" t="n"/>
      <c r="B157" s="2" t="n"/>
      <c r="C157" s="2" t="n"/>
      <c r="D157" s="2" t="n"/>
      <c r="E157" s="2" t="n"/>
      <c r="F157" s="3" t="n"/>
      <c r="G157" s="12" t="n"/>
      <c r="H157" s="22">
        <f>G157-F157</f>
        <v/>
      </c>
    </row>
    <row r="158">
      <c r="A158" s="2" t="n"/>
      <c r="B158" s="2" t="n"/>
      <c r="C158" s="2" t="n"/>
      <c r="D158" s="2" t="n"/>
      <c r="E158" s="2" t="n"/>
      <c r="F158" s="3" t="n"/>
      <c r="G158" s="12" t="n"/>
      <c r="H158" s="22">
        <f>G158-F158</f>
        <v/>
      </c>
    </row>
    <row r="159">
      <c r="A159" s="2" t="n"/>
      <c r="B159" s="2" t="n"/>
      <c r="C159" s="2" t="n"/>
      <c r="D159" s="2" t="n"/>
      <c r="E159" s="2" t="n"/>
      <c r="F159" s="3" t="n"/>
      <c r="G159" s="12" t="n"/>
      <c r="H159" s="22">
        <f>G159-F159</f>
        <v/>
      </c>
    </row>
    <row r="160">
      <c r="A160" s="2" t="n"/>
      <c r="B160" s="2" t="n"/>
      <c r="C160" s="2" t="n"/>
      <c r="D160" s="2" t="n"/>
      <c r="E160" s="2" t="n"/>
      <c r="F160" s="3" t="n"/>
      <c r="G160" s="12" t="n"/>
      <c r="H160" s="22">
        <f>G160-F160</f>
        <v/>
      </c>
    </row>
    <row r="161">
      <c r="A161" s="2" t="n"/>
      <c r="B161" s="2" t="n"/>
      <c r="C161" s="2" t="n"/>
      <c r="D161" s="2" t="n"/>
      <c r="E161" s="2" t="n"/>
      <c r="F161" s="3" t="n"/>
      <c r="G161" s="12" t="n"/>
      <c r="H161" s="22">
        <f>G161-F161</f>
        <v/>
      </c>
    </row>
    <row r="162">
      <c r="A162" s="2" t="n"/>
      <c r="B162" s="2" t="n"/>
      <c r="C162" s="2" t="n"/>
      <c r="D162" s="2" t="n"/>
      <c r="E162" s="2" t="n"/>
      <c r="F162" s="3" t="n"/>
      <c r="G162" s="12" t="n"/>
      <c r="H162" s="22">
        <f>G162-F162</f>
        <v/>
      </c>
    </row>
    <row r="163">
      <c r="A163" s="2" t="n"/>
      <c r="B163" s="2" t="n"/>
      <c r="C163" s="2" t="n"/>
      <c r="D163" s="2" t="n"/>
      <c r="E163" s="2" t="n"/>
      <c r="F163" s="3" t="n"/>
      <c r="G163" s="12" t="n"/>
      <c r="H163" s="22">
        <f>G163-F163</f>
        <v/>
      </c>
    </row>
    <row r="164">
      <c r="A164" s="2" t="n"/>
      <c r="B164" s="2" t="n"/>
      <c r="C164" s="2" t="n"/>
      <c r="D164" s="2" t="n"/>
      <c r="E164" s="2" t="n"/>
      <c r="F164" s="3" t="n"/>
      <c r="G164" s="12" t="n"/>
      <c r="H164" s="22">
        <f>G164-F164</f>
        <v/>
      </c>
    </row>
    <row r="165">
      <c r="A165" s="2" t="n"/>
      <c r="B165" s="2" t="n"/>
      <c r="C165" s="2" t="n"/>
      <c r="D165" s="2" t="n"/>
      <c r="E165" s="2" t="n"/>
      <c r="F165" s="3" t="n"/>
      <c r="G165" s="12" t="n"/>
      <c r="H165" s="22">
        <f>G165-F165</f>
        <v/>
      </c>
    </row>
    <row r="166">
      <c r="A166" s="2" t="n"/>
      <c r="B166" s="2" t="n"/>
      <c r="C166" s="2" t="n"/>
      <c r="D166" s="2" t="n"/>
      <c r="E166" s="2" t="n"/>
      <c r="F166" s="3" t="n"/>
      <c r="G166" s="12" t="n"/>
      <c r="H166" s="22">
        <f>G166-F166</f>
        <v/>
      </c>
    </row>
    <row r="167">
      <c r="A167" s="2" t="n"/>
      <c r="B167" s="2" t="n"/>
      <c r="C167" s="2" t="n"/>
      <c r="D167" s="2" t="n"/>
      <c r="E167" s="2" t="n"/>
      <c r="F167" s="3" t="n"/>
      <c r="G167" s="12" t="n"/>
      <c r="H167" s="22">
        <f>G167-F167</f>
        <v/>
      </c>
    </row>
    <row r="168">
      <c r="A168" s="2" t="n"/>
      <c r="B168" s="2" t="n"/>
      <c r="C168" s="2" t="n"/>
      <c r="D168" s="2" t="n"/>
      <c r="E168" s="2" t="n"/>
      <c r="F168" s="3" t="n"/>
      <c r="G168" s="12" t="n"/>
      <c r="H168" s="22">
        <f>G168-F168</f>
        <v/>
      </c>
    </row>
    <row r="169">
      <c r="A169" s="2" t="n"/>
      <c r="B169" s="2" t="n"/>
      <c r="C169" s="2" t="n"/>
      <c r="D169" s="2" t="n"/>
      <c r="E169" s="2" t="n"/>
      <c r="F169" s="3" t="n"/>
      <c r="G169" s="12" t="n"/>
      <c r="H169" s="22">
        <f>G169-F169</f>
        <v/>
      </c>
    </row>
    <row r="170">
      <c r="A170" s="2" t="n"/>
      <c r="B170" s="2" t="n"/>
      <c r="C170" s="2" t="n"/>
      <c r="D170" s="2" t="n"/>
      <c r="E170" s="2" t="n"/>
      <c r="F170" s="3" t="n"/>
      <c r="G170" s="12" t="n"/>
      <c r="H170" s="22">
        <f>G170-F170</f>
        <v/>
      </c>
    </row>
    <row r="171">
      <c r="A171" s="2" t="n"/>
      <c r="B171" s="2" t="n"/>
      <c r="C171" s="2" t="n"/>
      <c r="D171" s="2" t="n"/>
      <c r="E171" s="2" t="n"/>
      <c r="F171" s="3" t="n"/>
      <c r="G171" s="12" t="n"/>
      <c r="H171" s="22">
        <f>G171-F171</f>
        <v/>
      </c>
    </row>
    <row r="172">
      <c r="A172" s="2" t="n"/>
      <c r="B172" s="2" t="n"/>
      <c r="C172" s="2" t="n"/>
      <c r="D172" s="2" t="n"/>
      <c r="E172" s="2" t="n"/>
      <c r="F172" s="3" t="n"/>
      <c r="G172" s="12" t="n"/>
      <c r="H172" s="22">
        <f>G172-F172</f>
        <v/>
      </c>
    </row>
    <row r="173">
      <c r="A173" s="2" t="n"/>
      <c r="B173" s="2" t="n"/>
      <c r="C173" s="2" t="n"/>
      <c r="D173" s="2" t="n"/>
      <c r="E173" s="2" t="n"/>
      <c r="F173" s="3" t="n"/>
      <c r="G173" s="12" t="n"/>
      <c r="H173" s="22">
        <f>G173-F173</f>
        <v/>
      </c>
    </row>
    <row r="174">
      <c r="A174" s="2" t="n"/>
      <c r="B174" s="2" t="n"/>
      <c r="C174" s="2" t="n"/>
      <c r="D174" s="2" t="n"/>
      <c r="E174" s="2" t="n"/>
      <c r="F174" s="3" t="n"/>
      <c r="G174" s="12" t="n"/>
      <c r="H174" s="22">
        <f>G174-F174</f>
        <v/>
      </c>
    </row>
    <row r="175">
      <c r="A175" s="2" t="n"/>
      <c r="B175" s="2" t="n"/>
      <c r="C175" s="2" t="n"/>
      <c r="D175" s="2" t="n"/>
      <c r="E175" s="2" t="n"/>
      <c r="F175" s="3" t="n"/>
      <c r="G175" s="12" t="n"/>
      <c r="H175" s="22">
        <f>G175-F175</f>
        <v/>
      </c>
    </row>
    <row r="176">
      <c r="A176" s="2" t="n"/>
      <c r="B176" s="2" t="n"/>
      <c r="C176" s="2" t="n"/>
      <c r="D176" s="2" t="n"/>
      <c r="E176" s="2" t="n"/>
      <c r="F176" s="3" t="n"/>
      <c r="G176" s="12" t="n"/>
      <c r="H176" s="22">
        <f>G176-F176</f>
        <v/>
      </c>
    </row>
    <row r="177">
      <c r="A177" s="2" t="n"/>
      <c r="B177" s="2" t="n"/>
      <c r="C177" s="2" t="n"/>
      <c r="D177" s="2" t="n"/>
      <c r="E177" s="2" t="n"/>
      <c r="F177" s="3" t="n"/>
      <c r="G177" s="12" t="n"/>
      <c r="H177" s="22">
        <f>G177-F177</f>
        <v/>
      </c>
    </row>
    <row r="178">
      <c r="A178" s="2" t="n"/>
      <c r="B178" s="2" t="n"/>
      <c r="C178" s="2" t="n"/>
      <c r="D178" s="2" t="n"/>
      <c r="E178" s="2" t="n"/>
      <c r="F178" s="3" t="n"/>
      <c r="G178" s="12" t="n"/>
      <c r="H178" s="22">
        <f>G178-F178</f>
        <v/>
      </c>
    </row>
    <row r="179">
      <c r="A179" s="2" t="n"/>
      <c r="B179" s="2" t="n"/>
      <c r="C179" s="2" t="n"/>
      <c r="D179" s="2" t="n"/>
      <c r="E179" s="2" t="n"/>
      <c r="F179" s="3" t="n"/>
      <c r="G179" s="12" t="n"/>
      <c r="H179" s="22">
        <f>G179-F179</f>
        <v/>
      </c>
    </row>
    <row r="180">
      <c r="A180" s="2" t="n"/>
      <c r="B180" s="2" t="n"/>
      <c r="C180" s="2" t="n"/>
      <c r="D180" s="2" t="n"/>
      <c r="E180" s="2" t="n"/>
      <c r="F180" s="3" t="n"/>
      <c r="G180" s="12" t="n"/>
      <c r="H180" s="22">
        <f>G180-F180</f>
        <v/>
      </c>
    </row>
    <row r="181">
      <c r="A181" s="2" t="n"/>
      <c r="B181" s="2" t="n"/>
      <c r="C181" s="2" t="n"/>
      <c r="D181" s="2" t="n"/>
      <c r="E181" s="2" t="n"/>
      <c r="F181" s="3" t="n"/>
      <c r="G181" s="12" t="n"/>
      <c r="H181" s="22">
        <f>G181-F181</f>
        <v/>
      </c>
    </row>
    <row r="182">
      <c r="A182" s="2" t="n"/>
      <c r="B182" s="2" t="n"/>
      <c r="C182" s="2" t="n"/>
      <c r="D182" s="2" t="n"/>
      <c r="E182" s="2" t="n"/>
      <c r="F182" s="3" t="n"/>
      <c r="G182" s="12" t="n"/>
      <c r="H182" s="22">
        <f>G182-F182</f>
        <v/>
      </c>
    </row>
    <row r="183">
      <c r="A183" s="2" t="n"/>
      <c r="B183" s="2" t="n"/>
      <c r="C183" s="2" t="n"/>
      <c r="D183" s="2" t="n"/>
      <c r="E183" s="2" t="n"/>
      <c r="F183" s="3" t="n"/>
      <c r="G183" s="12" t="n"/>
      <c r="H183" s="22">
        <f>G183-F183</f>
        <v/>
      </c>
    </row>
    <row r="184">
      <c r="A184" s="2" t="n"/>
      <c r="B184" s="2" t="n"/>
      <c r="C184" s="2" t="n"/>
      <c r="D184" s="2" t="n"/>
      <c r="E184" s="2" t="n"/>
      <c r="F184" s="3" t="n"/>
      <c r="G184" s="12" t="n"/>
      <c r="H184" s="22">
        <f>G184-F184</f>
        <v/>
      </c>
    </row>
    <row r="185">
      <c r="A185" s="2" t="n"/>
      <c r="B185" s="2" t="n"/>
      <c r="C185" s="2" t="n"/>
      <c r="D185" s="2" t="n"/>
      <c r="E185" s="2" t="n"/>
      <c r="F185" s="3" t="n"/>
      <c r="G185" s="12" t="n"/>
      <c r="H185" s="22">
        <f>G185-F185</f>
        <v/>
      </c>
    </row>
    <row r="186">
      <c r="A186" s="2" t="n"/>
      <c r="B186" s="2" t="n"/>
      <c r="C186" s="2" t="n"/>
      <c r="D186" s="2" t="n"/>
      <c r="E186" s="2" t="n"/>
      <c r="F186" s="3" t="n"/>
      <c r="G186" s="12" t="n"/>
      <c r="H186" s="22">
        <f>G186-F186</f>
        <v/>
      </c>
    </row>
    <row r="187">
      <c r="A187" s="2" t="n"/>
      <c r="B187" s="2" t="n"/>
      <c r="C187" s="2" t="n"/>
      <c r="D187" s="2" t="n"/>
      <c r="E187" s="2" t="n"/>
      <c r="F187" s="3" t="n"/>
      <c r="G187" s="12" t="n"/>
      <c r="H187" s="22">
        <f>G187-F187</f>
        <v/>
      </c>
    </row>
    <row r="188">
      <c r="A188" s="2" t="n"/>
      <c r="B188" s="2" t="n"/>
      <c r="C188" s="2" t="n"/>
      <c r="D188" s="2" t="n"/>
      <c r="E188" s="2" t="n"/>
      <c r="F188" s="3" t="n"/>
      <c r="G188" s="12" t="n"/>
      <c r="H188" s="22">
        <f>G188-F188</f>
        <v/>
      </c>
    </row>
    <row r="189">
      <c r="A189" s="2" t="n"/>
      <c r="B189" s="2" t="n"/>
      <c r="C189" s="2" t="n"/>
      <c r="D189" s="2" t="n"/>
      <c r="E189" s="2" t="n"/>
      <c r="F189" s="3" t="n"/>
      <c r="G189" s="12" t="n"/>
      <c r="H189" s="22">
        <f>G189-F189</f>
        <v/>
      </c>
    </row>
    <row r="190">
      <c r="A190" s="2" t="n"/>
      <c r="B190" s="2" t="n"/>
      <c r="C190" s="2" t="n"/>
      <c r="D190" s="2" t="n"/>
      <c r="E190" s="2" t="n"/>
      <c r="F190" s="3" t="n"/>
      <c r="G190" s="12" t="n"/>
      <c r="H190" s="22">
        <f>G190-F190</f>
        <v/>
      </c>
    </row>
    <row r="191">
      <c r="A191" s="2" t="n"/>
      <c r="B191" s="2" t="n"/>
      <c r="C191" s="2" t="n"/>
      <c r="D191" s="2" t="n"/>
      <c r="E191" s="2" t="n"/>
      <c r="F191" s="3" t="n"/>
      <c r="G191" s="12" t="n"/>
      <c r="H191" s="22">
        <f>G191-F191</f>
        <v/>
      </c>
    </row>
    <row r="192">
      <c r="A192" s="2" t="n"/>
      <c r="B192" s="2" t="n"/>
      <c r="C192" s="2" t="n"/>
      <c r="D192" s="2" t="n"/>
      <c r="E192" s="2" t="n"/>
      <c r="F192" s="3" t="n"/>
      <c r="G192" s="12" t="n"/>
      <c r="H192" s="22">
        <f>G192-F192</f>
        <v/>
      </c>
    </row>
    <row r="193">
      <c r="A193" s="2" t="n"/>
      <c r="B193" s="2" t="n"/>
      <c r="C193" s="2" t="n"/>
      <c r="D193" s="2" t="n"/>
      <c r="E193" s="2" t="n"/>
      <c r="F193" s="3" t="n"/>
      <c r="G193" s="12" t="n"/>
      <c r="H193" s="22">
        <f>G193-F193</f>
        <v/>
      </c>
    </row>
    <row r="194">
      <c r="A194" s="2" t="n"/>
      <c r="B194" s="2" t="n"/>
      <c r="C194" s="2" t="n"/>
      <c r="D194" s="2" t="n"/>
      <c r="E194" s="2" t="n"/>
      <c r="F194" s="3" t="n"/>
      <c r="G194" s="12" t="n"/>
      <c r="H194" s="22">
        <f>G194-F194</f>
        <v/>
      </c>
    </row>
    <row r="195">
      <c r="A195" s="2" t="n"/>
      <c r="B195" s="2" t="n"/>
      <c r="C195" s="2" t="n"/>
      <c r="D195" s="2" t="n"/>
      <c r="E195" s="2" t="n"/>
      <c r="F195" s="3" t="n"/>
      <c r="G195" s="12" t="n"/>
      <c r="H195" s="22">
        <f>G195-F195</f>
        <v/>
      </c>
    </row>
    <row r="196">
      <c r="A196" s="2" t="n"/>
      <c r="B196" s="2" t="n"/>
      <c r="C196" s="2" t="n"/>
      <c r="D196" s="2" t="n"/>
      <c r="E196" s="2" t="n"/>
      <c r="F196" s="3" t="n"/>
      <c r="G196" s="12" t="n"/>
      <c r="H196" s="22">
        <f>G196-F196</f>
        <v/>
      </c>
    </row>
    <row r="197">
      <c r="A197" s="2" t="n"/>
      <c r="B197" s="2" t="n"/>
      <c r="C197" s="2" t="n"/>
      <c r="D197" s="2" t="n"/>
      <c r="E197" s="2" t="n"/>
      <c r="F197" s="3" t="n"/>
      <c r="G197" s="12" t="n"/>
      <c r="H197" s="22">
        <f>G197-F197</f>
        <v/>
      </c>
    </row>
    <row r="198">
      <c r="A198" s="2" t="n"/>
      <c r="B198" s="2" t="n"/>
      <c r="C198" s="2" t="n"/>
      <c r="D198" s="2" t="n"/>
      <c r="E198" s="2" t="n"/>
      <c r="F198" s="3" t="n"/>
      <c r="G198" s="12" t="n"/>
      <c r="H198" s="22">
        <f>G198-F198</f>
        <v/>
      </c>
    </row>
    <row r="199">
      <c r="A199" s="2" t="n"/>
      <c r="B199" s="2" t="n"/>
      <c r="C199" s="2" t="n"/>
      <c r="D199" s="2" t="n"/>
      <c r="E199" s="2" t="n"/>
      <c r="F199" s="3" t="n"/>
      <c r="G199" s="12" t="n"/>
      <c r="H199" s="22">
        <f>G199-F199</f>
        <v/>
      </c>
    </row>
    <row r="200">
      <c r="A200" s="2" t="n"/>
      <c r="B200" s="2" t="n"/>
      <c r="C200" s="2" t="n"/>
      <c r="D200" s="2" t="n"/>
      <c r="E200" s="2" t="n"/>
      <c r="F200" s="3" t="n"/>
      <c r="G200" s="12" t="n"/>
      <c r="H200" s="22">
        <f>G200-F200</f>
        <v/>
      </c>
    </row>
    <row r="201">
      <c r="A201" s="2" t="n"/>
      <c r="B201" s="2" t="n"/>
      <c r="C201" s="2" t="n"/>
      <c r="D201" s="2" t="n"/>
      <c r="E201" s="2" t="n"/>
      <c r="F201" s="3" t="n"/>
      <c r="G201" s="12" t="n"/>
      <c r="H201" s="22">
        <f>G201-F201</f>
        <v/>
      </c>
    </row>
    <row r="202">
      <c r="A202" s="2" t="n"/>
      <c r="B202" s="2" t="n"/>
      <c r="C202" s="2" t="n"/>
      <c r="D202" s="2" t="n"/>
      <c r="E202" s="2" t="n"/>
      <c r="F202" s="3" t="n"/>
      <c r="G202" s="12" t="n"/>
      <c r="H202" s="22">
        <f>G202-F202</f>
        <v/>
      </c>
    </row>
    <row r="203">
      <c r="A203" s="2" t="n"/>
      <c r="B203" s="2" t="n"/>
      <c r="C203" s="2" t="n"/>
      <c r="D203" s="2" t="n"/>
      <c r="E203" s="2" t="n"/>
      <c r="F203" s="3" t="n"/>
      <c r="G203" s="12" t="n"/>
      <c r="H203" s="22">
        <f>G203-F203</f>
        <v/>
      </c>
    </row>
    <row r="204">
      <c r="A204" s="2" t="n"/>
      <c r="B204" s="2" t="n"/>
      <c r="C204" s="2" t="n"/>
      <c r="D204" s="2" t="n"/>
      <c r="E204" s="2" t="n"/>
      <c r="F204" s="3" t="n"/>
      <c r="G204" s="12" t="n"/>
      <c r="H204" s="22">
        <f>G204-F204</f>
        <v/>
      </c>
    </row>
    <row r="205">
      <c r="A205" s="2" t="n"/>
      <c r="B205" s="2" t="n"/>
      <c r="C205" s="2" t="n"/>
      <c r="D205" s="2" t="n"/>
      <c r="E205" s="2" t="n"/>
      <c r="F205" s="3" t="n"/>
      <c r="G205" s="12" t="n"/>
      <c r="H205" s="22">
        <f>G205-F205</f>
        <v/>
      </c>
    </row>
    <row r="206">
      <c r="A206" s="2" t="n"/>
      <c r="B206" s="2" t="n"/>
      <c r="C206" s="2" t="n"/>
      <c r="D206" s="2" t="n"/>
      <c r="E206" s="2" t="n"/>
      <c r="F206" s="3" t="n"/>
      <c r="G206" s="12" t="n"/>
      <c r="H206" s="22">
        <f>G206-F206</f>
        <v/>
      </c>
    </row>
    <row r="207">
      <c r="A207" s="2" t="n"/>
      <c r="B207" s="2" t="n"/>
      <c r="C207" s="2" t="n"/>
      <c r="D207" s="2" t="n"/>
      <c r="E207" s="2" t="n"/>
      <c r="F207" s="3" t="n"/>
      <c r="G207" s="12" t="n"/>
      <c r="H207" s="22">
        <f>G207-F207</f>
        <v/>
      </c>
    </row>
    <row r="208">
      <c r="A208" s="2" t="n"/>
      <c r="B208" s="2" t="n"/>
      <c r="C208" s="2" t="n"/>
      <c r="D208" s="2" t="n"/>
      <c r="E208" s="2" t="n"/>
      <c r="F208" s="3" t="n"/>
      <c r="G208" s="12" t="n"/>
      <c r="H208" s="22">
        <f>G208-F208</f>
        <v/>
      </c>
    </row>
    <row r="209">
      <c r="A209" s="2" t="n"/>
      <c r="B209" s="2" t="n"/>
      <c r="C209" s="2" t="n"/>
      <c r="D209" s="2" t="n"/>
      <c r="E209" s="2" t="n"/>
      <c r="F209" s="3" t="n"/>
      <c r="G209" s="12" t="n"/>
      <c r="H209" s="22">
        <f>G209-F209</f>
        <v/>
      </c>
    </row>
    <row r="210">
      <c r="A210" s="2" t="n"/>
      <c r="B210" s="2" t="n"/>
      <c r="C210" s="2" t="n"/>
      <c r="D210" s="2" t="n"/>
      <c r="E210" s="2" t="n"/>
      <c r="F210" s="3" t="n"/>
      <c r="G210" s="12" t="n"/>
      <c r="H210" s="22">
        <f>G210-F210</f>
        <v/>
      </c>
    </row>
    <row r="211">
      <c r="A211" s="2" t="n"/>
      <c r="B211" s="2" t="n"/>
      <c r="C211" s="2" t="n"/>
      <c r="D211" s="2" t="n"/>
      <c r="E211" s="2" t="n"/>
      <c r="F211" s="3" t="n"/>
      <c r="G211" s="12" t="n"/>
      <c r="H211" s="22">
        <f>G211-F211</f>
        <v/>
      </c>
    </row>
    <row r="212">
      <c r="A212" s="2" t="n"/>
      <c r="B212" s="2" t="n"/>
      <c r="C212" s="2" t="n"/>
      <c r="D212" s="2" t="n"/>
      <c r="E212" s="2" t="n"/>
      <c r="F212" s="3" t="n"/>
      <c r="G212" s="12" t="n"/>
      <c r="H212" s="22">
        <f>G212-F212</f>
        <v/>
      </c>
    </row>
    <row r="213">
      <c r="A213" s="2" t="n"/>
      <c r="B213" s="2" t="n"/>
      <c r="C213" s="2" t="n"/>
      <c r="D213" s="2" t="n"/>
      <c r="E213" s="2" t="n"/>
      <c r="F213" s="3" t="n"/>
      <c r="G213" s="12" t="n"/>
      <c r="H213" s="22">
        <f>G213-F213</f>
        <v/>
      </c>
    </row>
    <row r="214">
      <c r="A214" s="2" t="n"/>
      <c r="B214" s="2" t="n"/>
      <c r="C214" s="2" t="n"/>
      <c r="D214" s="2" t="n"/>
      <c r="E214" s="2" t="n"/>
      <c r="F214" s="3" t="n"/>
      <c r="G214" s="12" t="n"/>
      <c r="H214" s="22">
        <f>G214-F214</f>
        <v/>
      </c>
    </row>
    <row r="215">
      <c r="A215" s="2" t="n"/>
      <c r="B215" s="2" t="n"/>
      <c r="C215" s="2" t="n"/>
      <c r="D215" s="2" t="n"/>
      <c r="E215" s="2" t="n"/>
      <c r="F215" s="3" t="n"/>
      <c r="G215" s="12" t="n"/>
      <c r="H215" s="22">
        <f>G215-F215</f>
        <v/>
      </c>
    </row>
    <row r="216">
      <c r="A216" s="2" t="n"/>
      <c r="B216" s="2" t="n"/>
      <c r="C216" s="2" t="n"/>
      <c r="D216" s="2" t="n"/>
      <c r="E216" s="2" t="n"/>
      <c r="F216" s="3" t="n"/>
      <c r="G216" s="12" t="n"/>
      <c r="H216" s="22">
        <f>G216-F216</f>
        <v/>
      </c>
    </row>
    <row r="217">
      <c r="A217" s="2" t="n"/>
      <c r="B217" s="2" t="n"/>
      <c r="C217" s="2" t="n"/>
      <c r="D217" s="2" t="n"/>
      <c r="E217" s="2" t="n"/>
      <c r="F217" s="3" t="n"/>
      <c r="G217" s="12" t="n"/>
      <c r="H217" s="22">
        <f>G217-F217</f>
        <v/>
      </c>
    </row>
    <row r="218">
      <c r="A218" s="2" t="n"/>
      <c r="B218" s="2" t="n"/>
      <c r="C218" s="2" t="n"/>
      <c r="D218" s="2" t="n"/>
      <c r="E218" s="2" t="n"/>
      <c r="F218" s="3" t="n"/>
      <c r="G218" s="12" t="n"/>
      <c r="H218" s="22">
        <f>G218-F218</f>
        <v/>
      </c>
    </row>
    <row r="219">
      <c r="A219" s="2" t="n"/>
      <c r="B219" s="2" t="n"/>
      <c r="C219" s="2" t="n"/>
      <c r="D219" s="2" t="n"/>
      <c r="E219" s="2" t="n"/>
      <c r="F219" s="3" t="n"/>
      <c r="G219" s="12" t="n"/>
      <c r="H219" s="22">
        <f>G219-F219</f>
        <v/>
      </c>
    </row>
    <row r="220">
      <c r="A220" s="2" t="n"/>
      <c r="B220" s="2" t="n"/>
      <c r="C220" s="2" t="n"/>
      <c r="D220" s="2" t="n"/>
      <c r="E220" s="2" t="n"/>
      <c r="F220" s="3" t="n"/>
      <c r="G220" s="12" t="n"/>
      <c r="H220" s="22">
        <f>G220-F220</f>
        <v/>
      </c>
    </row>
    <row r="221">
      <c r="A221" s="2" t="n"/>
      <c r="B221" s="2" t="n"/>
      <c r="C221" s="2" t="n"/>
      <c r="D221" s="2" t="n"/>
      <c r="E221" s="2" t="n"/>
      <c r="F221" s="3" t="n"/>
      <c r="G221" s="12" t="n"/>
      <c r="H221" s="22">
        <f>G221-F221</f>
        <v/>
      </c>
    </row>
    <row r="222">
      <c r="A222" s="2" t="n"/>
      <c r="B222" s="2" t="n"/>
      <c r="C222" s="2" t="n"/>
      <c r="D222" s="2" t="n"/>
      <c r="E222" s="2" t="n"/>
      <c r="F222" s="3" t="n"/>
      <c r="G222" s="12" t="n"/>
      <c r="H222" s="22">
        <f>G222-F222</f>
        <v/>
      </c>
    </row>
    <row r="223">
      <c r="A223" s="2" t="n"/>
      <c r="B223" s="2" t="n"/>
      <c r="C223" s="2" t="n"/>
      <c r="D223" s="2" t="n"/>
      <c r="E223" s="2" t="n"/>
      <c r="F223" s="3" t="n"/>
      <c r="G223" s="12" t="n"/>
      <c r="H223" s="22">
        <f>G223-F223</f>
        <v/>
      </c>
    </row>
    <row r="224">
      <c r="A224" s="2" t="n"/>
      <c r="B224" s="2" t="n"/>
      <c r="C224" s="2" t="n"/>
      <c r="D224" s="2" t="n"/>
      <c r="E224" s="2" t="n"/>
      <c r="F224" s="3" t="n"/>
      <c r="G224" s="12" t="n"/>
      <c r="H224" s="22">
        <f>G224-F224</f>
        <v/>
      </c>
    </row>
    <row r="225">
      <c r="A225" s="2" t="n"/>
      <c r="B225" s="2" t="n"/>
      <c r="C225" s="2" t="n"/>
      <c r="D225" s="2" t="n"/>
      <c r="E225" s="2" t="n"/>
      <c r="F225" s="3" t="n"/>
      <c r="G225" s="12" t="n"/>
      <c r="H225" s="22">
        <f>G225-F225</f>
        <v/>
      </c>
    </row>
    <row r="226">
      <c r="A226" s="2" t="n"/>
      <c r="B226" s="2" t="n"/>
      <c r="C226" s="2" t="n"/>
      <c r="D226" s="2" t="n"/>
      <c r="E226" s="2" t="n"/>
      <c r="F226" s="3" t="n"/>
      <c r="G226" s="12" t="n"/>
      <c r="H226" s="22">
        <f>G226-F226</f>
        <v/>
      </c>
    </row>
    <row r="227">
      <c r="A227" s="2" t="n"/>
      <c r="B227" s="2" t="n"/>
      <c r="C227" s="2" t="n"/>
      <c r="D227" s="2" t="n"/>
      <c r="E227" s="2" t="n"/>
      <c r="F227" s="3" t="n"/>
      <c r="G227" s="12" t="n"/>
      <c r="H227" s="22">
        <f>G227-F227</f>
        <v/>
      </c>
    </row>
    <row r="228">
      <c r="A228" s="2" t="n"/>
      <c r="B228" s="2" t="n"/>
      <c r="C228" s="2" t="n"/>
      <c r="D228" s="2" t="n"/>
      <c r="E228" s="2" t="n"/>
      <c r="F228" s="3" t="n"/>
      <c r="G228" s="12" t="n"/>
      <c r="H228" s="22">
        <f>G228-F228</f>
        <v/>
      </c>
    </row>
    <row r="229">
      <c r="A229" s="2" t="n"/>
      <c r="B229" s="2" t="n"/>
      <c r="C229" s="2" t="n"/>
      <c r="D229" s="2" t="n"/>
      <c r="E229" s="2" t="n"/>
      <c r="F229" s="3" t="n"/>
      <c r="G229" s="12" t="n"/>
      <c r="H229" s="22">
        <f>G229-F229</f>
        <v/>
      </c>
    </row>
    <row r="230">
      <c r="A230" s="2" t="n"/>
      <c r="B230" s="2" t="n"/>
      <c r="C230" s="2" t="n"/>
      <c r="D230" s="2" t="n"/>
      <c r="E230" s="2" t="n"/>
      <c r="F230" s="3" t="n"/>
      <c r="G230" s="12" t="n"/>
      <c r="H230" s="22">
        <f>G230-F230</f>
        <v/>
      </c>
    </row>
    <row r="231">
      <c r="A231" s="2" t="n"/>
      <c r="B231" s="2" t="n"/>
      <c r="C231" s="2" t="n"/>
      <c r="D231" s="2" t="n"/>
      <c r="E231" s="2" t="n"/>
      <c r="F231" s="3" t="n"/>
      <c r="G231" s="12" t="n"/>
      <c r="H231" s="22">
        <f>G231-F231</f>
        <v/>
      </c>
    </row>
    <row r="232">
      <c r="A232" s="2" t="n"/>
      <c r="B232" s="2" t="n"/>
      <c r="C232" s="2" t="n"/>
      <c r="D232" s="2" t="n"/>
      <c r="E232" s="2" t="n"/>
      <c r="F232" s="3" t="n"/>
      <c r="G232" s="12" t="n"/>
      <c r="H232" s="22">
        <f>G232-F232</f>
        <v/>
      </c>
    </row>
    <row r="233">
      <c r="A233" s="2" t="n"/>
      <c r="B233" s="2" t="n"/>
      <c r="C233" s="2" t="n"/>
      <c r="D233" s="2" t="n"/>
      <c r="E233" s="2" t="n"/>
      <c r="F233" s="3" t="n"/>
      <c r="G233" s="12" t="n"/>
      <c r="H233" s="22">
        <f>G233-F233</f>
        <v/>
      </c>
    </row>
    <row r="234">
      <c r="A234" s="2" t="n"/>
      <c r="B234" s="2" t="n"/>
      <c r="C234" s="2" t="n"/>
      <c r="D234" s="2" t="n"/>
      <c r="E234" s="2" t="n"/>
      <c r="F234" s="3" t="n"/>
      <c r="G234" s="12" t="n"/>
      <c r="H234" s="22">
        <f>G234-F234</f>
        <v/>
      </c>
    </row>
    <row r="235">
      <c r="A235" s="2" t="n"/>
      <c r="B235" s="2" t="n"/>
      <c r="C235" s="2" t="n"/>
      <c r="D235" s="2" t="n"/>
      <c r="E235" s="2" t="n"/>
      <c r="F235" s="3" t="n"/>
      <c r="G235" s="12" t="n"/>
      <c r="H235" s="22">
        <f>G235-F235</f>
        <v/>
      </c>
    </row>
    <row r="236">
      <c r="A236" s="2" t="n"/>
      <c r="B236" s="2" t="n"/>
      <c r="C236" s="2" t="n"/>
      <c r="D236" s="2" t="n"/>
      <c r="E236" s="2" t="n"/>
      <c r="F236" s="3" t="n"/>
      <c r="G236" s="12" t="n"/>
      <c r="H236" s="22">
        <f>G236-F236</f>
        <v/>
      </c>
    </row>
    <row r="237">
      <c r="A237" s="2" t="n"/>
      <c r="B237" s="2" t="n"/>
      <c r="C237" s="2" t="n"/>
      <c r="D237" s="2" t="n"/>
      <c r="E237" s="2" t="n"/>
      <c r="F237" s="3" t="n"/>
      <c r="G237" s="12" t="n"/>
      <c r="H237" s="22">
        <f>G237-F237</f>
        <v/>
      </c>
    </row>
    <row r="238">
      <c r="A238" s="2" t="n"/>
      <c r="B238" s="2" t="n"/>
      <c r="C238" s="2" t="n"/>
      <c r="D238" s="2" t="n"/>
      <c r="E238" s="2" t="n"/>
      <c r="F238" s="3" t="n"/>
      <c r="G238" s="12" t="n"/>
      <c r="H238" s="22">
        <f>G238-F238</f>
        <v/>
      </c>
    </row>
    <row r="239">
      <c r="A239" s="2" t="n"/>
      <c r="B239" s="2" t="n"/>
      <c r="C239" s="2" t="n"/>
      <c r="D239" s="2" t="n"/>
      <c r="E239" s="2" t="n"/>
      <c r="F239" s="3" t="n"/>
      <c r="G239" s="12" t="n"/>
      <c r="H239" s="22">
        <f>G239-F239</f>
        <v/>
      </c>
    </row>
    <row r="240">
      <c r="A240" s="2" t="n"/>
      <c r="B240" s="2" t="n"/>
      <c r="C240" s="2" t="n"/>
      <c r="D240" s="2" t="n"/>
      <c r="E240" s="2" t="n"/>
      <c r="F240" s="3" t="n"/>
      <c r="G240" s="12" t="n"/>
      <c r="H240" s="22">
        <f>G240-F240</f>
        <v/>
      </c>
    </row>
    <row r="241">
      <c r="A241" s="2" t="n"/>
      <c r="B241" s="2" t="n"/>
      <c r="C241" s="2" t="n"/>
      <c r="D241" s="2" t="n"/>
      <c r="E241" s="2" t="n"/>
      <c r="F241" s="3" t="n"/>
      <c r="G241" s="12" t="n"/>
      <c r="H241" s="22">
        <f>G241-F241</f>
        <v/>
      </c>
    </row>
    <row r="242">
      <c r="A242" s="2" t="n"/>
      <c r="B242" s="2" t="n"/>
      <c r="C242" s="2" t="n"/>
      <c r="D242" s="2" t="n"/>
      <c r="E242" s="2" t="n"/>
      <c r="F242" s="3" t="n"/>
      <c r="G242" s="12" t="n"/>
      <c r="H242" s="22">
        <f>G242-F242</f>
        <v/>
      </c>
    </row>
    <row r="243">
      <c r="A243" s="2" t="n"/>
      <c r="B243" s="2" t="n"/>
      <c r="C243" s="2" t="n"/>
      <c r="D243" s="2" t="n"/>
      <c r="E243" s="2" t="n"/>
      <c r="F243" s="3" t="n"/>
      <c r="G243" s="12" t="n"/>
      <c r="H243" s="22">
        <f>G243-F243</f>
        <v/>
      </c>
    </row>
    <row r="244">
      <c r="A244" s="2" t="n"/>
      <c r="B244" s="2" t="n"/>
      <c r="C244" s="2" t="n"/>
      <c r="D244" s="2" t="n"/>
      <c r="E244" s="2" t="n"/>
      <c r="F244" s="3" t="n"/>
      <c r="G244" s="12" t="n"/>
      <c r="H244" s="22">
        <f>G244-F244</f>
        <v/>
      </c>
    </row>
    <row r="245">
      <c r="A245" s="2" t="n"/>
      <c r="B245" s="2" t="n"/>
      <c r="C245" s="2" t="n"/>
      <c r="D245" s="2" t="n"/>
      <c r="E245" s="2" t="n"/>
      <c r="F245" s="3" t="n"/>
      <c r="G245" s="12" t="n"/>
      <c r="H245" s="22">
        <f>G245-F245</f>
        <v/>
      </c>
    </row>
    <row r="246">
      <c r="A246" s="2" t="n"/>
      <c r="B246" s="2" t="n"/>
      <c r="C246" s="2" t="n"/>
      <c r="D246" s="2" t="n"/>
      <c r="E246" s="2" t="n"/>
      <c r="F246" s="3" t="n"/>
      <c r="G246" s="12" t="n"/>
      <c r="H246" s="22">
        <f>G246-F246</f>
        <v/>
      </c>
    </row>
    <row r="247">
      <c r="A247" s="2" t="n"/>
      <c r="B247" s="2" t="n"/>
      <c r="C247" s="2" t="n"/>
      <c r="D247" s="2" t="n"/>
      <c r="E247" s="2" t="n"/>
      <c r="F247" s="3" t="n"/>
      <c r="G247" s="12" t="n"/>
      <c r="H247" s="22">
        <f>G247-F247</f>
        <v/>
      </c>
    </row>
    <row r="248">
      <c r="A248" s="2" t="n"/>
      <c r="B248" s="2" t="n"/>
      <c r="C248" s="2" t="n"/>
      <c r="D248" s="2" t="n"/>
      <c r="E248" s="2" t="n"/>
      <c r="F248" s="3" t="n"/>
      <c r="G248" s="12" t="n"/>
      <c r="H248" s="22">
        <f>G248-F248</f>
        <v/>
      </c>
    </row>
    <row r="249">
      <c r="A249" s="2" t="n"/>
      <c r="B249" s="2" t="n"/>
      <c r="C249" s="2" t="n"/>
      <c r="D249" s="2" t="n"/>
      <c r="E249" s="2" t="n"/>
      <c r="F249" s="3" t="n"/>
      <c r="G249" s="12" t="n"/>
      <c r="H249" s="22">
        <f>G249-F249</f>
        <v/>
      </c>
    </row>
    <row r="250">
      <c r="A250" s="2" t="n"/>
      <c r="B250" s="2" t="n"/>
      <c r="C250" s="2" t="n"/>
      <c r="D250" s="2" t="n"/>
      <c r="E250" s="2" t="n"/>
      <c r="F250" s="3" t="n"/>
      <c r="G250" s="12" t="n"/>
      <c r="H250" s="22">
        <f>G250-F250</f>
        <v/>
      </c>
    </row>
    <row r="251">
      <c r="A251" s="2" t="n"/>
      <c r="B251" s="2" t="n"/>
      <c r="C251" s="2" t="n"/>
      <c r="D251" s="2" t="n"/>
      <c r="E251" s="2" t="n"/>
      <c r="F251" s="3" t="n"/>
      <c r="G251" s="12" t="n"/>
      <c r="H251" s="22">
        <f>G251-F251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Date</t>
        </is>
      </c>
      <c r="B1" s="15" t="inlineStr">
        <is>
          <t>Start Location</t>
        </is>
      </c>
      <c r="C1" s="15" t="inlineStr">
        <is>
          <t>End Location</t>
        </is>
      </c>
      <c r="D1" s="15" t="inlineStr">
        <is>
          <t>Miles Driven</t>
        </is>
      </c>
      <c r="E1" s="15" t="inlineStr">
        <is>
          <t>Purpose</t>
        </is>
      </c>
      <c r="F1" s="15" t="inlineStr">
        <is>
          <t>Job Name</t>
        </is>
      </c>
      <c r="G1" s="15" t="inlineStr">
        <is>
          <t>Deduction ($)</t>
        </is>
      </c>
      <c r="I1" s="23" t="inlineStr">
        <is>
          <t>Mileage Rate ($/mile)</t>
        </is>
      </c>
      <c r="J1" s="24" t="n">
        <v>0.67</v>
      </c>
    </row>
    <row r="2">
      <c r="A2" s="2" t="n"/>
      <c r="B2" s="2" t="n"/>
      <c r="C2" s="2" t="n"/>
      <c r="D2" s="7" t="n"/>
      <c r="E2" s="2" t="n"/>
      <c r="F2" s="2" t="n"/>
      <c r="G2" s="18">
        <f>D2*$J$1</f>
        <v/>
      </c>
    </row>
    <row r="3">
      <c r="A3" s="2" t="n"/>
      <c r="B3" s="2" t="n"/>
      <c r="C3" s="2" t="n"/>
      <c r="D3" s="7" t="n"/>
      <c r="E3" s="2" t="n"/>
      <c r="F3" s="2" t="n"/>
      <c r="G3" s="18">
        <f>D3*$J$1</f>
        <v/>
      </c>
    </row>
    <row r="4">
      <c r="A4" s="2" t="n"/>
      <c r="B4" s="2" t="n"/>
      <c r="C4" s="2" t="n"/>
      <c r="D4" s="7" t="n"/>
      <c r="E4" s="2" t="n"/>
      <c r="F4" s="2" t="n"/>
      <c r="G4" s="18">
        <f>D4*$J$1</f>
        <v/>
      </c>
    </row>
    <row r="5">
      <c r="A5" s="2" t="n"/>
      <c r="B5" s="2" t="n"/>
      <c r="C5" s="2" t="n"/>
      <c r="D5" s="7" t="n"/>
      <c r="E5" s="2" t="n"/>
      <c r="F5" s="2" t="n"/>
      <c r="G5" s="18">
        <f>D5*$J$1</f>
        <v/>
      </c>
    </row>
    <row r="6">
      <c r="A6" s="2" t="n"/>
      <c r="B6" s="2" t="n"/>
      <c r="C6" s="2" t="n"/>
      <c r="D6" s="7" t="n"/>
      <c r="E6" s="2" t="n"/>
      <c r="F6" s="2" t="n"/>
      <c r="G6" s="18">
        <f>D6*$J$1</f>
        <v/>
      </c>
    </row>
    <row r="7">
      <c r="A7" s="2" t="n"/>
      <c r="B7" s="2" t="n"/>
      <c r="C7" s="2" t="n"/>
      <c r="D7" s="7" t="n"/>
      <c r="E7" s="2" t="n"/>
      <c r="F7" s="2" t="n"/>
      <c r="G7" s="18">
        <f>D7*$J$1</f>
        <v/>
      </c>
    </row>
    <row r="8">
      <c r="A8" s="2" t="n"/>
      <c r="B8" s="2" t="n"/>
      <c r="C8" s="2" t="n"/>
      <c r="D8" s="7" t="n"/>
      <c r="E8" s="2" t="n"/>
      <c r="F8" s="2" t="n"/>
      <c r="G8" s="18">
        <f>D8*$J$1</f>
        <v/>
      </c>
    </row>
    <row r="9">
      <c r="A9" s="2" t="n"/>
      <c r="B9" s="2" t="n"/>
      <c r="C9" s="2" t="n"/>
      <c r="D9" s="7" t="n"/>
      <c r="E9" s="2" t="n"/>
      <c r="F9" s="2" t="n"/>
      <c r="G9" s="18">
        <f>D9*$J$1</f>
        <v/>
      </c>
    </row>
    <row r="10">
      <c r="A10" s="2" t="n"/>
      <c r="B10" s="2" t="n"/>
      <c r="C10" s="2" t="n"/>
      <c r="D10" s="7" t="n"/>
      <c r="E10" s="2" t="n"/>
      <c r="F10" s="2" t="n"/>
      <c r="G10" s="18">
        <f>D10*$J$1</f>
        <v/>
      </c>
    </row>
    <row r="11">
      <c r="A11" s="2" t="n"/>
      <c r="B11" s="2" t="n"/>
      <c r="C11" s="2" t="n"/>
      <c r="D11" s="7" t="n"/>
      <c r="E11" s="2" t="n"/>
      <c r="F11" s="2" t="n"/>
      <c r="G11" s="18">
        <f>D11*$J$1</f>
        <v/>
      </c>
    </row>
    <row r="12">
      <c r="A12" s="2" t="n"/>
      <c r="B12" s="2" t="n"/>
      <c r="C12" s="2" t="n"/>
      <c r="D12" s="7" t="n"/>
      <c r="E12" s="2" t="n"/>
      <c r="F12" s="2" t="n"/>
      <c r="G12" s="18">
        <f>D12*$J$1</f>
        <v/>
      </c>
    </row>
    <row r="13">
      <c r="A13" s="2" t="n"/>
      <c r="B13" s="2" t="n"/>
      <c r="C13" s="2" t="n"/>
      <c r="D13" s="7" t="n"/>
      <c r="E13" s="2" t="n"/>
      <c r="F13" s="2" t="n"/>
      <c r="G13" s="18">
        <f>D13*$J$1</f>
        <v/>
      </c>
    </row>
    <row r="14">
      <c r="A14" s="2" t="n"/>
      <c r="B14" s="2" t="n"/>
      <c r="C14" s="2" t="n"/>
      <c r="D14" s="7" t="n"/>
      <c r="E14" s="2" t="n"/>
      <c r="F14" s="2" t="n"/>
      <c r="G14" s="18">
        <f>D14*$J$1</f>
        <v/>
      </c>
    </row>
    <row r="15">
      <c r="A15" s="2" t="n"/>
      <c r="B15" s="2" t="n"/>
      <c r="C15" s="2" t="n"/>
      <c r="D15" s="7" t="n"/>
      <c r="E15" s="2" t="n"/>
      <c r="F15" s="2" t="n"/>
      <c r="G15" s="18">
        <f>D15*$J$1</f>
        <v/>
      </c>
    </row>
    <row r="16">
      <c r="A16" s="2" t="n"/>
      <c r="B16" s="2" t="n"/>
      <c r="C16" s="2" t="n"/>
      <c r="D16" s="7" t="n"/>
      <c r="E16" s="2" t="n"/>
      <c r="F16" s="2" t="n"/>
      <c r="G16" s="18">
        <f>D16*$J$1</f>
        <v/>
      </c>
    </row>
    <row r="17">
      <c r="A17" s="2" t="n"/>
      <c r="B17" s="2" t="n"/>
      <c r="C17" s="2" t="n"/>
      <c r="D17" s="7" t="n"/>
      <c r="E17" s="2" t="n"/>
      <c r="F17" s="2" t="n"/>
      <c r="G17" s="18">
        <f>D17*$J$1</f>
        <v/>
      </c>
    </row>
    <row r="18">
      <c r="A18" s="2" t="n"/>
      <c r="B18" s="2" t="n"/>
      <c r="C18" s="2" t="n"/>
      <c r="D18" s="7" t="n"/>
      <c r="E18" s="2" t="n"/>
      <c r="F18" s="2" t="n"/>
      <c r="G18" s="18">
        <f>D18*$J$1</f>
        <v/>
      </c>
    </row>
    <row r="19">
      <c r="A19" s="2" t="n"/>
      <c r="B19" s="2" t="n"/>
      <c r="C19" s="2" t="n"/>
      <c r="D19" s="7" t="n"/>
      <c r="E19" s="2" t="n"/>
      <c r="F19" s="2" t="n"/>
      <c r="G19" s="18">
        <f>D19*$J$1</f>
        <v/>
      </c>
    </row>
    <row r="20">
      <c r="A20" s="2" t="n"/>
      <c r="B20" s="2" t="n"/>
      <c r="C20" s="2" t="n"/>
      <c r="D20" s="7" t="n"/>
      <c r="E20" s="2" t="n"/>
      <c r="F20" s="2" t="n"/>
      <c r="G20" s="18">
        <f>D20*$J$1</f>
        <v/>
      </c>
    </row>
    <row r="21">
      <c r="A21" s="2" t="n"/>
      <c r="B21" s="2" t="n"/>
      <c r="C21" s="2" t="n"/>
      <c r="D21" s="7" t="n"/>
      <c r="E21" s="2" t="n"/>
      <c r="F21" s="2" t="n"/>
      <c r="G21" s="18">
        <f>D21*$J$1</f>
        <v/>
      </c>
    </row>
    <row r="22">
      <c r="A22" s="2" t="n"/>
      <c r="B22" s="2" t="n"/>
      <c r="C22" s="2" t="n"/>
      <c r="D22" s="7" t="n"/>
      <c r="E22" s="2" t="n"/>
      <c r="F22" s="2" t="n"/>
      <c r="G22" s="18">
        <f>D22*$J$1</f>
        <v/>
      </c>
    </row>
    <row r="23">
      <c r="A23" s="2" t="n"/>
      <c r="B23" s="2" t="n"/>
      <c r="C23" s="2" t="n"/>
      <c r="D23" s="7" t="n"/>
      <c r="E23" s="2" t="n"/>
      <c r="F23" s="2" t="n"/>
      <c r="G23" s="18">
        <f>D23*$J$1</f>
        <v/>
      </c>
    </row>
    <row r="24">
      <c r="A24" s="2" t="n"/>
      <c r="B24" s="2" t="n"/>
      <c r="C24" s="2" t="n"/>
      <c r="D24" s="7" t="n"/>
      <c r="E24" s="2" t="n"/>
      <c r="F24" s="2" t="n"/>
      <c r="G24" s="18">
        <f>D24*$J$1</f>
        <v/>
      </c>
    </row>
    <row r="25">
      <c r="A25" s="2" t="n"/>
      <c r="B25" s="2" t="n"/>
      <c r="C25" s="2" t="n"/>
      <c r="D25" s="7" t="n"/>
      <c r="E25" s="2" t="n"/>
      <c r="F25" s="2" t="n"/>
      <c r="G25" s="18">
        <f>D25*$J$1</f>
        <v/>
      </c>
    </row>
    <row r="26">
      <c r="A26" s="2" t="n"/>
      <c r="B26" s="2" t="n"/>
      <c r="C26" s="2" t="n"/>
      <c r="D26" s="7" t="n"/>
      <c r="E26" s="2" t="n"/>
      <c r="F26" s="2" t="n"/>
      <c r="G26" s="18">
        <f>D26*$J$1</f>
        <v/>
      </c>
    </row>
    <row r="27">
      <c r="A27" s="2" t="n"/>
      <c r="B27" s="2" t="n"/>
      <c r="C27" s="2" t="n"/>
      <c r="D27" s="7" t="n"/>
      <c r="E27" s="2" t="n"/>
      <c r="F27" s="2" t="n"/>
      <c r="G27" s="18">
        <f>D27*$J$1</f>
        <v/>
      </c>
    </row>
    <row r="28">
      <c r="A28" s="2" t="n"/>
      <c r="B28" s="2" t="n"/>
      <c r="C28" s="2" t="n"/>
      <c r="D28" s="7" t="n"/>
      <c r="E28" s="2" t="n"/>
      <c r="F28" s="2" t="n"/>
      <c r="G28" s="18">
        <f>D28*$J$1</f>
        <v/>
      </c>
    </row>
    <row r="29">
      <c r="A29" s="2" t="n"/>
      <c r="B29" s="2" t="n"/>
      <c r="C29" s="2" t="n"/>
      <c r="D29" s="7" t="n"/>
      <c r="E29" s="2" t="n"/>
      <c r="F29" s="2" t="n"/>
      <c r="G29" s="18">
        <f>D29*$J$1</f>
        <v/>
      </c>
    </row>
    <row r="30">
      <c r="A30" s="2" t="n"/>
      <c r="B30" s="2" t="n"/>
      <c r="C30" s="2" t="n"/>
      <c r="D30" s="7" t="n"/>
      <c r="E30" s="2" t="n"/>
      <c r="F30" s="2" t="n"/>
      <c r="G30" s="18">
        <f>D30*$J$1</f>
        <v/>
      </c>
    </row>
    <row r="31">
      <c r="A31" s="2" t="n"/>
      <c r="B31" s="2" t="n"/>
      <c r="C31" s="2" t="n"/>
      <c r="D31" s="7" t="n"/>
      <c r="E31" s="2" t="n"/>
      <c r="F31" s="2" t="n"/>
      <c r="G31" s="18">
        <f>D31*$J$1</f>
        <v/>
      </c>
    </row>
    <row r="32">
      <c r="A32" s="2" t="n"/>
      <c r="B32" s="2" t="n"/>
      <c r="C32" s="2" t="n"/>
      <c r="D32" s="7" t="n"/>
      <c r="E32" s="2" t="n"/>
      <c r="F32" s="2" t="n"/>
      <c r="G32" s="18">
        <f>D32*$J$1</f>
        <v/>
      </c>
    </row>
    <row r="33">
      <c r="A33" s="2" t="n"/>
      <c r="B33" s="2" t="n"/>
      <c r="C33" s="2" t="n"/>
      <c r="D33" s="7" t="n"/>
      <c r="E33" s="2" t="n"/>
      <c r="F33" s="2" t="n"/>
      <c r="G33" s="18">
        <f>D33*$J$1</f>
        <v/>
      </c>
    </row>
    <row r="34">
      <c r="A34" s="2" t="n"/>
      <c r="B34" s="2" t="n"/>
      <c r="C34" s="2" t="n"/>
      <c r="D34" s="7" t="n"/>
      <c r="E34" s="2" t="n"/>
      <c r="F34" s="2" t="n"/>
      <c r="G34" s="18">
        <f>D34*$J$1</f>
        <v/>
      </c>
    </row>
    <row r="35">
      <c r="A35" s="2" t="n"/>
      <c r="B35" s="2" t="n"/>
      <c r="C35" s="2" t="n"/>
      <c r="D35" s="7" t="n"/>
      <c r="E35" s="2" t="n"/>
      <c r="F35" s="2" t="n"/>
      <c r="G35" s="18">
        <f>D35*$J$1</f>
        <v/>
      </c>
    </row>
    <row r="36">
      <c r="A36" s="2" t="n"/>
      <c r="B36" s="2" t="n"/>
      <c r="C36" s="2" t="n"/>
      <c r="D36" s="7" t="n"/>
      <c r="E36" s="2" t="n"/>
      <c r="F36" s="2" t="n"/>
      <c r="G36" s="18">
        <f>D36*$J$1</f>
        <v/>
      </c>
    </row>
    <row r="37">
      <c r="A37" s="2" t="n"/>
      <c r="B37" s="2" t="n"/>
      <c r="C37" s="2" t="n"/>
      <c r="D37" s="7" t="n"/>
      <c r="E37" s="2" t="n"/>
      <c r="F37" s="2" t="n"/>
      <c r="G37" s="18">
        <f>D37*$J$1</f>
        <v/>
      </c>
    </row>
    <row r="38">
      <c r="A38" s="2" t="n"/>
      <c r="B38" s="2" t="n"/>
      <c r="C38" s="2" t="n"/>
      <c r="D38" s="7" t="n"/>
      <c r="E38" s="2" t="n"/>
      <c r="F38" s="2" t="n"/>
      <c r="G38" s="18">
        <f>D38*$J$1</f>
        <v/>
      </c>
    </row>
    <row r="39">
      <c r="A39" s="2" t="n"/>
      <c r="B39" s="2" t="n"/>
      <c r="C39" s="2" t="n"/>
      <c r="D39" s="7" t="n"/>
      <c r="E39" s="2" t="n"/>
      <c r="F39" s="2" t="n"/>
      <c r="G39" s="18">
        <f>D39*$J$1</f>
        <v/>
      </c>
    </row>
    <row r="40">
      <c r="A40" s="2" t="n"/>
      <c r="B40" s="2" t="n"/>
      <c r="C40" s="2" t="n"/>
      <c r="D40" s="7" t="n"/>
      <c r="E40" s="2" t="n"/>
      <c r="F40" s="2" t="n"/>
      <c r="G40" s="18">
        <f>D40*$J$1</f>
        <v/>
      </c>
    </row>
    <row r="41">
      <c r="A41" s="2" t="n"/>
      <c r="B41" s="2" t="n"/>
      <c r="C41" s="2" t="n"/>
      <c r="D41" s="7" t="n"/>
      <c r="E41" s="2" t="n"/>
      <c r="F41" s="2" t="n"/>
      <c r="G41" s="18">
        <f>D41*$J$1</f>
        <v/>
      </c>
    </row>
    <row r="42">
      <c r="A42" s="2" t="n"/>
      <c r="B42" s="2" t="n"/>
      <c r="C42" s="2" t="n"/>
      <c r="D42" s="7" t="n"/>
      <c r="E42" s="2" t="n"/>
      <c r="F42" s="2" t="n"/>
      <c r="G42" s="18">
        <f>D42*$J$1</f>
        <v/>
      </c>
    </row>
    <row r="43">
      <c r="A43" s="2" t="n"/>
      <c r="B43" s="2" t="n"/>
      <c r="C43" s="2" t="n"/>
      <c r="D43" s="7" t="n"/>
      <c r="E43" s="2" t="n"/>
      <c r="F43" s="2" t="n"/>
      <c r="G43" s="18">
        <f>D43*$J$1</f>
        <v/>
      </c>
    </row>
    <row r="44">
      <c r="A44" s="2" t="n"/>
      <c r="B44" s="2" t="n"/>
      <c r="C44" s="2" t="n"/>
      <c r="D44" s="7" t="n"/>
      <c r="E44" s="2" t="n"/>
      <c r="F44" s="2" t="n"/>
      <c r="G44" s="18">
        <f>D44*$J$1</f>
        <v/>
      </c>
    </row>
    <row r="45">
      <c r="A45" s="2" t="n"/>
      <c r="B45" s="2" t="n"/>
      <c r="C45" s="2" t="n"/>
      <c r="D45" s="7" t="n"/>
      <c r="E45" s="2" t="n"/>
      <c r="F45" s="2" t="n"/>
      <c r="G45" s="18">
        <f>D45*$J$1</f>
        <v/>
      </c>
    </row>
    <row r="46">
      <c r="A46" s="2" t="n"/>
      <c r="B46" s="2" t="n"/>
      <c r="C46" s="2" t="n"/>
      <c r="D46" s="7" t="n"/>
      <c r="E46" s="2" t="n"/>
      <c r="F46" s="2" t="n"/>
      <c r="G46" s="18">
        <f>D46*$J$1</f>
        <v/>
      </c>
    </row>
    <row r="47">
      <c r="A47" s="2" t="n"/>
      <c r="B47" s="2" t="n"/>
      <c r="C47" s="2" t="n"/>
      <c r="D47" s="7" t="n"/>
      <c r="E47" s="2" t="n"/>
      <c r="F47" s="2" t="n"/>
      <c r="G47" s="18">
        <f>D47*$J$1</f>
        <v/>
      </c>
    </row>
    <row r="48">
      <c r="A48" s="2" t="n"/>
      <c r="B48" s="2" t="n"/>
      <c r="C48" s="2" t="n"/>
      <c r="D48" s="7" t="n"/>
      <c r="E48" s="2" t="n"/>
      <c r="F48" s="2" t="n"/>
      <c r="G48" s="18">
        <f>D48*$J$1</f>
        <v/>
      </c>
    </row>
    <row r="49">
      <c r="A49" s="2" t="n"/>
      <c r="B49" s="2" t="n"/>
      <c r="C49" s="2" t="n"/>
      <c r="D49" s="7" t="n"/>
      <c r="E49" s="2" t="n"/>
      <c r="F49" s="2" t="n"/>
      <c r="G49" s="18">
        <f>D49*$J$1</f>
        <v/>
      </c>
    </row>
    <row r="50">
      <c r="A50" s="2" t="n"/>
      <c r="B50" s="2" t="n"/>
      <c r="C50" s="2" t="n"/>
      <c r="D50" s="7" t="n"/>
      <c r="E50" s="2" t="n"/>
      <c r="F50" s="2" t="n"/>
      <c r="G50" s="18">
        <f>D50*$J$1</f>
        <v/>
      </c>
    </row>
    <row r="51">
      <c r="A51" s="2" t="n"/>
      <c r="B51" s="2" t="n"/>
      <c r="C51" s="2" t="n"/>
      <c r="D51" s="7" t="n"/>
      <c r="E51" s="2" t="n"/>
      <c r="F51" s="2" t="n"/>
      <c r="G51" s="18">
        <f>D51*$J$1</f>
        <v/>
      </c>
    </row>
    <row r="52">
      <c r="A52" s="2" t="n"/>
      <c r="B52" s="2" t="n"/>
      <c r="C52" s="2" t="n"/>
      <c r="D52" s="7" t="n"/>
      <c r="E52" s="2" t="n"/>
      <c r="F52" s="2" t="n"/>
      <c r="G52" s="18">
        <f>D52*$J$1</f>
        <v/>
      </c>
    </row>
    <row r="53">
      <c r="A53" s="2" t="n"/>
      <c r="B53" s="2" t="n"/>
      <c r="C53" s="2" t="n"/>
      <c r="D53" s="7" t="n"/>
      <c r="E53" s="2" t="n"/>
      <c r="F53" s="2" t="n"/>
      <c r="G53" s="18">
        <f>D53*$J$1</f>
        <v/>
      </c>
    </row>
    <row r="54">
      <c r="A54" s="2" t="n"/>
      <c r="B54" s="2" t="n"/>
      <c r="C54" s="2" t="n"/>
      <c r="D54" s="7" t="n"/>
      <c r="E54" s="2" t="n"/>
      <c r="F54" s="2" t="n"/>
      <c r="G54" s="18">
        <f>D54*$J$1</f>
        <v/>
      </c>
    </row>
    <row r="55">
      <c r="A55" s="2" t="n"/>
      <c r="B55" s="2" t="n"/>
      <c r="C55" s="2" t="n"/>
      <c r="D55" s="7" t="n"/>
      <c r="E55" s="2" t="n"/>
      <c r="F55" s="2" t="n"/>
      <c r="G55" s="18">
        <f>D55*$J$1</f>
        <v/>
      </c>
    </row>
    <row r="56">
      <c r="A56" s="2" t="n"/>
      <c r="B56" s="2" t="n"/>
      <c r="C56" s="2" t="n"/>
      <c r="D56" s="7" t="n"/>
      <c r="E56" s="2" t="n"/>
      <c r="F56" s="2" t="n"/>
      <c r="G56" s="18">
        <f>D56*$J$1</f>
        <v/>
      </c>
    </row>
    <row r="57">
      <c r="A57" s="2" t="n"/>
      <c r="B57" s="2" t="n"/>
      <c r="C57" s="2" t="n"/>
      <c r="D57" s="7" t="n"/>
      <c r="E57" s="2" t="n"/>
      <c r="F57" s="2" t="n"/>
      <c r="G57" s="18">
        <f>D57*$J$1</f>
        <v/>
      </c>
    </row>
    <row r="58">
      <c r="A58" s="2" t="n"/>
      <c r="B58" s="2" t="n"/>
      <c r="C58" s="2" t="n"/>
      <c r="D58" s="7" t="n"/>
      <c r="E58" s="2" t="n"/>
      <c r="F58" s="2" t="n"/>
      <c r="G58" s="18">
        <f>D58*$J$1</f>
        <v/>
      </c>
    </row>
    <row r="59">
      <c r="A59" s="2" t="n"/>
      <c r="B59" s="2" t="n"/>
      <c r="C59" s="2" t="n"/>
      <c r="D59" s="7" t="n"/>
      <c r="E59" s="2" t="n"/>
      <c r="F59" s="2" t="n"/>
      <c r="G59" s="18">
        <f>D59*$J$1</f>
        <v/>
      </c>
    </row>
    <row r="60">
      <c r="A60" s="2" t="n"/>
      <c r="B60" s="2" t="n"/>
      <c r="C60" s="2" t="n"/>
      <c r="D60" s="7" t="n"/>
      <c r="E60" s="2" t="n"/>
      <c r="F60" s="2" t="n"/>
      <c r="G60" s="18">
        <f>D60*$J$1</f>
        <v/>
      </c>
    </row>
    <row r="61">
      <c r="A61" s="2" t="n"/>
      <c r="B61" s="2" t="n"/>
      <c r="C61" s="2" t="n"/>
      <c r="D61" s="7" t="n"/>
      <c r="E61" s="2" t="n"/>
      <c r="F61" s="2" t="n"/>
      <c r="G61" s="18">
        <f>D61*$J$1</f>
        <v/>
      </c>
    </row>
    <row r="62">
      <c r="A62" s="2" t="n"/>
      <c r="B62" s="2" t="n"/>
      <c r="C62" s="2" t="n"/>
      <c r="D62" s="7" t="n"/>
      <c r="E62" s="2" t="n"/>
      <c r="F62" s="2" t="n"/>
      <c r="G62" s="18">
        <f>D62*$J$1</f>
        <v/>
      </c>
    </row>
    <row r="63">
      <c r="A63" s="2" t="n"/>
      <c r="B63" s="2" t="n"/>
      <c r="C63" s="2" t="n"/>
      <c r="D63" s="7" t="n"/>
      <c r="E63" s="2" t="n"/>
      <c r="F63" s="2" t="n"/>
      <c r="G63" s="18">
        <f>D63*$J$1</f>
        <v/>
      </c>
    </row>
    <row r="64">
      <c r="A64" s="2" t="n"/>
      <c r="B64" s="2" t="n"/>
      <c r="C64" s="2" t="n"/>
      <c r="D64" s="7" t="n"/>
      <c r="E64" s="2" t="n"/>
      <c r="F64" s="2" t="n"/>
      <c r="G64" s="18">
        <f>D64*$J$1</f>
        <v/>
      </c>
    </row>
    <row r="65">
      <c r="A65" s="2" t="n"/>
      <c r="B65" s="2" t="n"/>
      <c r="C65" s="2" t="n"/>
      <c r="D65" s="7" t="n"/>
      <c r="E65" s="2" t="n"/>
      <c r="F65" s="2" t="n"/>
      <c r="G65" s="18">
        <f>D65*$J$1</f>
        <v/>
      </c>
    </row>
    <row r="66">
      <c r="A66" s="2" t="n"/>
      <c r="B66" s="2" t="n"/>
      <c r="C66" s="2" t="n"/>
      <c r="D66" s="7" t="n"/>
      <c r="E66" s="2" t="n"/>
      <c r="F66" s="2" t="n"/>
      <c r="G66" s="18">
        <f>D66*$J$1</f>
        <v/>
      </c>
    </row>
    <row r="67">
      <c r="A67" s="2" t="n"/>
      <c r="B67" s="2" t="n"/>
      <c r="C67" s="2" t="n"/>
      <c r="D67" s="7" t="n"/>
      <c r="E67" s="2" t="n"/>
      <c r="F67" s="2" t="n"/>
      <c r="G67" s="18">
        <f>D67*$J$1</f>
        <v/>
      </c>
    </row>
    <row r="68">
      <c r="A68" s="2" t="n"/>
      <c r="B68" s="2" t="n"/>
      <c r="C68" s="2" t="n"/>
      <c r="D68" s="7" t="n"/>
      <c r="E68" s="2" t="n"/>
      <c r="F68" s="2" t="n"/>
      <c r="G68" s="18">
        <f>D68*$J$1</f>
        <v/>
      </c>
    </row>
    <row r="69">
      <c r="A69" s="2" t="n"/>
      <c r="B69" s="2" t="n"/>
      <c r="C69" s="2" t="n"/>
      <c r="D69" s="7" t="n"/>
      <c r="E69" s="2" t="n"/>
      <c r="F69" s="2" t="n"/>
      <c r="G69" s="18">
        <f>D69*$J$1</f>
        <v/>
      </c>
    </row>
    <row r="70">
      <c r="A70" s="2" t="n"/>
      <c r="B70" s="2" t="n"/>
      <c r="C70" s="2" t="n"/>
      <c r="D70" s="7" t="n"/>
      <c r="E70" s="2" t="n"/>
      <c r="F70" s="2" t="n"/>
      <c r="G70" s="18">
        <f>D70*$J$1</f>
        <v/>
      </c>
    </row>
    <row r="71">
      <c r="A71" s="2" t="n"/>
      <c r="B71" s="2" t="n"/>
      <c r="C71" s="2" t="n"/>
      <c r="D71" s="7" t="n"/>
      <c r="E71" s="2" t="n"/>
      <c r="F71" s="2" t="n"/>
      <c r="G71" s="18">
        <f>D71*$J$1</f>
        <v/>
      </c>
    </row>
    <row r="72">
      <c r="A72" s="2" t="n"/>
      <c r="B72" s="2" t="n"/>
      <c r="C72" s="2" t="n"/>
      <c r="D72" s="7" t="n"/>
      <c r="E72" s="2" t="n"/>
      <c r="F72" s="2" t="n"/>
      <c r="G72" s="18">
        <f>D72*$J$1</f>
        <v/>
      </c>
    </row>
    <row r="73">
      <c r="A73" s="2" t="n"/>
      <c r="B73" s="2" t="n"/>
      <c r="C73" s="2" t="n"/>
      <c r="D73" s="7" t="n"/>
      <c r="E73" s="2" t="n"/>
      <c r="F73" s="2" t="n"/>
      <c r="G73" s="18">
        <f>D73*$J$1</f>
        <v/>
      </c>
    </row>
    <row r="74">
      <c r="A74" s="2" t="n"/>
      <c r="B74" s="2" t="n"/>
      <c r="C74" s="2" t="n"/>
      <c r="D74" s="7" t="n"/>
      <c r="E74" s="2" t="n"/>
      <c r="F74" s="2" t="n"/>
      <c r="G74" s="18">
        <f>D74*$J$1</f>
        <v/>
      </c>
    </row>
    <row r="75">
      <c r="A75" s="2" t="n"/>
      <c r="B75" s="2" t="n"/>
      <c r="C75" s="2" t="n"/>
      <c r="D75" s="7" t="n"/>
      <c r="E75" s="2" t="n"/>
      <c r="F75" s="2" t="n"/>
      <c r="G75" s="18">
        <f>D75*$J$1</f>
        <v/>
      </c>
    </row>
    <row r="76">
      <c r="A76" s="2" t="n"/>
      <c r="B76" s="2" t="n"/>
      <c r="C76" s="2" t="n"/>
      <c r="D76" s="7" t="n"/>
      <c r="E76" s="2" t="n"/>
      <c r="F76" s="2" t="n"/>
      <c r="G76" s="18">
        <f>D76*$J$1</f>
        <v/>
      </c>
    </row>
    <row r="77">
      <c r="A77" s="2" t="n"/>
      <c r="B77" s="2" t="n"/>
      <c r="C77" s="2" t="n"/>
      <c r="D77" s="7" t="n"/>
      <c r="E77" s="2" t="n"/>
      <c r="F77" s="2" t="n"/>
      <c r="G77" s="18">
        <f>D77*$J$1</f>
        <v/>
      </c>
    </row>
    <row r="78">
      <c r="A78" s="2" t="n"/>
      <c r="B78" s="2" t="n"/>
      <c r="C78" s="2" t="n"/>
      <c r="D78" s="7" t="n"/>
      <c r="E78" s="2" t="n"/>
      <c r="F78" s="2" t="n"/>
      <c r="G78" s="18">
        <f>D78*$J$1</f>
        <v/>
      </c>
    </row>
    <row r="79">
      <c r="A79" s="2" t="n"/>
      <c r="B79" s="2" t="n"/>
      <c r="C79" s="2" t="n"/>
      <c r="D79" s="7" t="n"/>
      <c r="E79" s="2" t="n"/>
      <c r="F79" s="2" t="n"/>
      <c r="G79" s="18">
        <f>D79*$J$1</f>
        <v/>
      </c>
    </row>
    <row r="80">
      <c r="A80" s="2" t="n"/>
      <c r="B80" s="2" t="n"/>
      <c r="C80" s="2" t="n"/>
      <c r="D80" s="7" t="n"/>
      <c r="E80" s="2" t="n"/>
      <c r="F80" s="2" t="n"/>
      <c r="G80" s="18">
        <f>D80*$J$1</f>
        <v/>
      </c>
    </row>
    <row r="81">
      <c r="A81" s="2" t="n"/>
      <c r="B81" s="2" t="n"/>
      <c r="C81" s="2" t="n"/>
      <c r="D81" s="7" t="n"/>
      <c r="E81" s="2" t="n"/>
      <c r="F81" s="2" t="n"/>
      <c r="G81" s="18">
        <f>D81*$J$1</f>
        <v/>
      </c>
    </row>
    <row r="82">
      <c r="A82" s="2" t="n"/>
      <c r="B82" s="2" t="n"/>
      <c r="C82" s="2" t="n"/>
      <c r="D82" s="7" t="n"/>
      <c r="E82" s="2" t="n"/>
      <c r="F82" s="2" t="n"/>
      <c r="G82" s="18">
        <f>D82*$J$1</f>
        <v/>
      </c>
    </row>
    <row r="83">
      <c r="A83" s="2" t="n"/>
      <c r="B83" s="2" t="n"/>
      <c r="C83" s="2" t="n"/>
      <c r="D83" s="7" t="n"/>
      <c r="E83" s="2" t="n"/>
      <c r="F83" s="2" t="n"/>
      <c r="G83" s="18">
        <f>D83*$J$1</f>
        <v/>
      </c>
    </row>
    <row r="84">
      <c r="A84" s="2" t="n"/>
      <c r="B84" s="2" t="n"/>
      <c r="C84" s="2" t="n"/>
      <c r="D84" s="7" t="n"/>
      <c r="E84" s="2" t="n"/>
      <c r="F84" s="2" t="n"/>
      <c r="G84" s="18">
        <f>D84*$J$1</f>
        <v/>
      </c>
    </row>
    <row r="85">
      <c r="A85" s="2" t="n"/>
      <c r="B85" s="2" t="n"/>
      <c r="C85" s="2" t="n"/>
      <c r="D85" s="7" t="n"/>
      <c r="E85" s="2" t="n"/>
      <c r="F85" s="2" t="n"/>
      <c r="G85" s="18">
        <f>D85*$J$1</f>
        <v/>
      </c>
    </row>
    <row r="86">
      <c r="A86" s="2" t="n"/>
      <c r="B86" s="2" t="n"/>
      <c r="C86" s="2" t="n"/>
      <c r="D86" s="7" t="n"/>
      <c r="E86" s="2" t="n"/>
      <c r="F86" s="2" t="n"/>
      <c r="G86" s="18">
        <f>D86*$J$1</f>
        <v/>
      </c>
    </row>
    <row r="87">
      <c r="A87" s="2" t="n"/>
      <c r="B87" s="2" t="n"/>
      <c r="C87" s="2" t="n"/>
      <c r="D87" s="7" t="n"/>
      <c r="E87" s="2" t="n"/>
      <c r="F87" s="2" t="n"/>
      <c r="G87" s="18">
        <f>D87*$J$1</f>
        <v/>
      </c>
    </row>
    <row r="88">
      <c r="A88" s="2" t="n"/>
      <c r="B88" s="2" t="n"/>
      <c r="C88" s="2" t="n"/>
      <c r="D88" s="7" t="n"/>
      <c r="E88" s="2" t="n"/>
      <c r="F88" s="2" t="n"/>
      <c r="G88" s="18">
        <f>D88*$J$1</f>
        <v/>
      </c>
    </row>
    <row r="89">
      <c r="A89" s="2" t="n"/>
      <c r="B89" s="2" t="n"/>
      <c r="C89" s="2" t="n"/>
      <c r="D89" s="7" t="n"/>
      <c r="E89" s="2" t="n"/>
      <c r="F89" s="2" t="n"/>
      <c r="G89" s="18">
        <f>D89*$J$1</f>
        <v/>
      </c>
    </row>
    <row r="90">
      <c r="A90" s="2" t="n"/>
      <c r="B90" s="2" t="n"/>
      <c r="C90" s="2" t="n"/>
      <c r="D90" s="7" t="n"/>
      <c r="E90" s="2" t="n"/>
      <c r="F90" s="2" t="n"/>
      <c r="G90" s="18">
        <f>D90*$J$1</f>
        <v/>
      </c>
    </row>
    <row r="91">
      <c r="A91" s="2" t="n"/>
      <c r="B91" s="2" t="n"/>
      <c r="C91" s="2" t="n"/>
      <c r="D91" s="7" t="n"/>
      <c r="E91" s="2" t="n"/>
      <c r="F91" s="2" t="n"/>
      <c r="G91" s="18">
        <f>D91*$J$1</f>
        <v/>
      </c>
    </row>
    <row r="92">
      <c r="A92" s="2" t="n"/>
      <c r="B92" s="2" t="n"/>
      <c r="C92" s="2" t="n"/>
      <c r="D92" s="7" t="n"/>
      <c r="E92" s="2" t="n"/>
      <c r="F92" s="2" t="n"/>
      <c r="G92" s="18">
        <f>D92*$J$1</f>
        <v/>
      </c>
    </row>
    <row r="93">
      <c r="A93" s="2" t="n"/>
      <c r="B93" s="2" t="n"/>
      <c r="C93" s="2" t="n"/>
      <c r="D93" s="7" t="n"/>
      <c r="E93" s="2" t="n"/>
      <c r="F93" s="2" t="n"/>
      <c r="G93" s="18">
        <f>D93*$J$1</f>
        <v/>
      </c>
    </row>
    <row r="94">
      <c r="A94" s="2" t="n"/>
      <c r="B94" s="2" t="n"/>
      <c r="C94" s="2" t="n"/>
      <c r="D94" s="7" t="n"/>
      <c r="E94" s="2" t="n"/>
      <c r="F94" s="2" t="n"/>
      <c r="G94" s="18">
        <f>D94*$J$1</f>
        <v/>
      </c>
    </row>
    <row r="95">
      <c r="A95" s="2" t="n"/>
      <c r="B95" s="2" t="n"/>
      <c r="C95" s="2" t="n"/>
      <c r="D95" s="7" t="n"/>
      <c r="E95" s="2" t="n"/>
      <c r="F95" s="2" t="n"/>
      <c r="G95" s="18">
        <f>D95*$J$1</f>
        <v/>
      </c>
    </row>
    <row r="96">
      <c r="A96" s="2" t="n"/>
      <c r="B96" s="2" t="n"/>
      <c r="C96" s="2" t="n"/>
      <c r="D96" s="7" t="n"/>
      <c r="E96" s="2" t="n"/>
      <c r="F96" s="2" t="n"/>
      <c r="G96" s="18">
        <f>D96*$J$1</f>
        <v/>
      </c>
    </row>
    <row r="97">
      <c r="A97" s="2" t="n"/>
      <c r="B97" s="2" t="n"/>
      <c r="C97" s="2" t="n"/>
      <c r="D97" s="7" t="n"/>
      <c r="E97" s="2" t="n"/>
      <c r="F97" s="2" t="n"/>
      <c r="G97" s="18">
        <f>D97*$J$1</f>
        <v/>
      </c>
    </row>
    <row r="98">
      <c r="A98" s="2" t="n"/>
      <c r="B98" s="2" t="n"/>
      <c r="C98" s="2" t="n"/>
      <c r="D98" s="7" t="n"/>
      <c r="E98" s="2" t="n"/>
      <c r="F98" s="2" t="n"/>
      <c r="G98" s="18">
        <f>D98*$J$1</f>
        <v/>
      </c>
    </row>
    <row r="99">
      <c r="A99" s="2" t="n"/>
      <c r="B99" s="2" t="n"/>
      <c r="C99" s="2" t="n"/>
      <c r="D99" s="7" t="n"/>
      <c r="E99" s="2" t="n"/>
      <c r="F99" s="2" t="n"/>
      <c r="G99" s="18">
        <f>D99*$J$1</f>
        <v/>
      </c>
    </row>
    <row r="100">
      <c r="A100" s="2" t="n"/>
      <c r="B100" s="2" t="n"/>
      <c r="C100" s="2" t="n"/>
      <c r="D100" s="7" t="n"/>
      <c r="E100" s="2" t="n"/>
      <c r="F100" s="2" t="n"/>
      <c r="G100" s="18">
        <f>D100*$J$1</f>
        <v/>
      </c>
    </row>
    <row r="101">
      <c r="A101" s="2" t="n"/>
      <c r="B101" s="2" t="n"/>
      <c r="C101" s="2" t="n"/>
      <c r="D101" s="7" t="n"/>
      <c r="E101" s="2" t="n"/>
      <c r="F101" s="2" t="n"/>
      <c r="G101" s="18">
        <f>D101*$J$1</f>
        <v/>
      </c>
    </row>
    <row r="102">
      <c r="A102" s="2" t="n"/>
      <c r="B102" s="2" t="n"/>
      <c r="C102" s="2" t="n"/>
      <c r="D102" s="7" t="n"/>
      <c r="E102" s="2" t="n"/>
      <c r="F102" s="2" t="n"/>
      <c r="G102" s="18">
        <f>D102*$J$1</f>
        <v/>
      </c>
    </row>
    <row r="103">
      <c r="A103" s="2" t="n"/>
      <c r="B103" s="2" t="n"/>
      <c r="C103" s="2" t="n"/>
      <c r="D103" s="7" t="n"/>
      <c r="E103" s="2" t="n"/>
      <c r="F103" s="2" t="n"/>
      <c r="G103" s="18">
        <f>D103*$J$1</f>
        <v/>
      </c>
    </row>
    <row r="104">
      <c r="A104" s="2" t="n"/>
      <c r="B104" s="2" t="n"/>
      <c r="C104" s="2" t="n"/>
      <c r="D104" s="7" t="n"/>
      <c r="E104" s="2" t="n"/>
      <c r="F104" s="2" t="n"/>
      <c r="G104" s="18">
        <f>D104*$J$1</f>
        <v/>
      </c>
    </row>
    <row r="105">
      <c r="A105" s="2" t="n"/>
      <c r="B105" s="2" t="n"/>
      <c r="C105" s="2" t="n"/>
      <c r="D105" s="7" t="n"/>
      <c r="E105" s="2" t="n"/>
      <c r="F105" s="2" t="n"/>
      <c r="G105" s="18">
        <f>D105*$J$1</f>
        <v/>
      </c>
    </row>
    <row r="106">
      <c r="A106" s="2" t="n"/>
      <c r="B106" s="2" t="n"/>
      <c r="C106" s="2" t="n"/>
      <c r="D106" s="7" t="n"/>
      <c r="E106" s="2" t="n"/>
      <c r="F106" s="2" t="n"/>
      <c r="G106" s="18">
        <f>D106*$J$1</f>
        <v/>
      </c>
    </row>
    <row r="107">
      <c r="A107" s="2" t="n"/>
      <c r="B107" s="2" t="n"/>
      <c r="C107" s="2" t="n"/>
      <c r="D107" s="7" t="n"/>
      <c r="E107" s="2" t="n"/>
      <c r="F107" s="2" t="n"/>
      <c r="G107" s="18">
        <f>D107*$J$1</f>
        <v/>
      </c>
    </row>
    <row r="108">
      <c r="A108" s="2" t="n"/>
      <c r="B108" s="2" t="n"/>
      <c r="C108" s="2" t="n"/>
      <c r="D108" s="7" t="n"/>
      <c r="E108" s="2" t="n"/>
      <c r="F108" s="2" t="n"/>
      <c r="G108" s="18">
        <f>D108*$J$1</f>
        <v/>
      </c>
    </row>
    <row r="109">
      <c r="A109" s="2" t="n"/>
      <c r="B109" s="2" t="n"/>
      <c r="C109" s="2" t="n"/>
      <c r="D109" s="7" t="n"/>
      <c r="E109" s="2" t="n"/>
      <c r="F109" s="2" t="n"/>
      <c r="G109" s="18">
        <f>D109*$J$1</f>
        <v/>
      </c>
    </row>
    <row r="110">
      <c r="A110" s="2" t="n"/>
      <c r="B110" s="2" t="n"/>
      <c r="C110" s="2" t="n"/>
      <c r="D110" s="7" t="n"/>
      <c r="E110" s="2" t="n"/>
      <c r="F110" s="2" t="n"/>
      <c r="G110" s="18">
        <f>D110*$J$1</f>
        <v/>
      </c>
    </row>
    <row r="111">
      <c r="A111" s="2" t="n"/>
      <c r="B111" s="2" t="n"/>
      <c r="C111" s="2" t="n"/>
      <c r="D111" s="7" t="n"/>
      <c r="E111" s="2" t="n"/>
      <c r="F111" s="2" t="n"/>
      <c r="G111" s="18">
        <f>D111*$J$1</f>
        <v/>
      </c>
    </row>
    <row r="112">
      <c r="A112" s="2" t="n"/>
      <c r="B112" s="2" t="n"/>
      <c r="C112" s="2" t="n"/>
      <c r="D112" s="7" t="n"/>
      <c r="E112" s="2" t="n"/>
      <c r="F112" s="2" t="n"/>
      <c r="G112" s="18">
        <f>D112*$J$1</f>
        <v/>
      </c>
    </row>
    <row r="113">
      <c r="A113" s="2" t="n"/>
      <c r="B113" s="2" t="n"/>
      <c r="C113" s="2" t="n"/>
      <c r="D113" s="7" t="n"/>
      <c r="E113" s="2" t="n"/>
      <c r="F113" s="2" t="n"/>
      <c r="G113" s="18">
        <f>D113*$J$1</f>
        <v/>
      </c>
    </row>
    <row r="114">
      <c r="A114" s="2" t="n"/>
      <c r="B114" s="2" t="n"/>
      <c r="C114" s="2" t="n"/>
      <c r="D114" s="7" t="n"/>
      <c r="E114" s="2" t="n"/>
      <c r="F114" s="2" t="n"/>
      <c r="G114" s="18">
        <f>D114*$J$1</f>
        <v/>
      </c>
    </row>
    <row r="115">
      <c r="A115" s="2" t="n"/>
      <c r="B115" s="2" t="n"/>
      <c r="C115" s="2" t="n"/>
      <c r="D115" s="7" t="n"/>
      <c r="E115" s="2" t="n"/>
      <c r="F115" s="2" t="n"/>
      <c r="G115" s="18">
        <f>D115*$J$1</f>
        <v/>
      </c>
    </row>
    <row r="116">
      <c r="A116" s="2" t="n"/>
      <c r="B116" s="2" t="n"/>
      <c r="C116" s="2" t="n"/>
      <c r="D116" s="7" t="n"/>
      <c r="E116" s="2" t="n"/>
      <c r="F116" s="2" t="n"/>
      <c r="G116" s="18">
        <f>D116*$J$1</f>
        <v/>
      </c>
    </row>
    <row r="117">
      <c r="A117" s="2" t="n"/>
      <c r="B117" s="2" t="n"/>
      <c r="C117" s="2" t="n"/>
      <c r="D117" s="7" t="n"/>
      <c r="E117" s="2" t="n"/>
      <c r="F117" s="2" t="n"/>
      <c r="G117" s="18">
        <f>D117*$J$1</f>
        <v/>
      </c>
    </row>
    <row r="118">
      <c r="A118" s="2" t="n"/>
      <c r="B118" s="2" t="n"/>
      <c r="C118" s="2" t="n"/>
      <c r="D118" s="7" t="n"/>
      <c r="E118" s="2" t="n"/>
      <c r="F118" s="2" t="n"/>
      <c r="G118" s="18">
        <f>D118*$J$1</f>
        <v/>
      </c>
    </row>
    <row r="119">
      <c r="A119" s="2" t="n"/>
      <c r="B119" s="2" t="n"/>
      <c r="C119" s="2" t="n"/>
      <c r="D119" s="7" t="n"/>
      <c r="E119" s="2" t="n"/>
      <c r="F119" s="2" t="n"/>
      <c r="G119" s="18">
        <f>D119*$J$1</f>
        <v/>
      </c>
    </row>
    <row r="120">
      <c r="A120" s="2" t="n"/>
      <c r="B120" s="2" t="n"/>
      <c r="C120" s="2" t="n"/>
      <c r="D120" s="7" t="n"/>
      <c r="E120" s="2" t="n"/>
      <c r="F120" s="2" t="n"/>
      <c r="G120" s="18">
        <f>D120*$J$1</f>
        <v/>
      </c>
    </row>
    <row r="121">
      <c r="A121" s="2" t="n"/>
      <c r="B121" s="2" t="n"/>
      <c r="C121" s="2" t="n"/>
      <c r="D121" s="7" t="n"/>
      <c r="E121" s="2" t="n"/>
      <c r="F121" s="2" t="n"/>
      <c r="G121" s="18">
        <f>D121*$J$1</f>
        <v/>
      </c>
    </row>
    <row r="122">
      <c r="A122" s="2" t="n"/>
      <c r="B122" s="2" t="n"/>
      <c r="C122" s="2" t="n"/>
      <c r="D122" s="7" t="n"/>
      <c r="E122" s="2" t="n"/>
      <c r="F122" s="2" t="n"/>
      <c r="G122" s="18">
        <f>D122*$J$1</f>
        <v/>
      </c>
    </row>
    <row r="123">
      <c r="A123" s="2" t="n"/>
      <c r="B123" s="2" t="n"/>
      <c r="C123" s="2" t="n"/>
      <c r="D123" s="7" t="n"/>
      <c r="E123" s="2" t="n"/>
      <c r="F123" s="2" t="n"/>
      <c r="G123" s="18">
        <f>D123*$J$1</f>
        <v/>
      </c>
    </row>
    <row r="124">
      <c r="A124" s="2" t="n"/>
      <c r="B124" s="2" t="n"/>
      <c r="C124" s="2" t="n"/>
      <c r="D124" s="7" t="n"/>
      <c r="E124" s="2" t="n"/>
      <c r="F124" s="2" t="n"/>
      <c r="G124" s="18">
        <f>D124*$J$1</f>
        <v/>
      </c>
    </row>
    <row r="125">
      <c r="A125" s="2" t="n"/>
      <c r="B125" s="2" t="n"/>
      <c r="C125" s="2" t="n"/>
      <c r="D125" s="7" t="n"/>
      <c r="E125" s="2" t="n"/>
      <c r="F125" s="2" t="n"/>
      <c r="G125" s="18">
        <f>D125*$J$1</f>
        <v/>
      </c>
    </row>
    <row r="126">
      <c r="A126" s="2" t="n"/>
      <c r="B126" s="2" t="n"/>
      <c r="C126" s="2" t="n"/>
      <c r="D126" s="7" t="n"/>
      <c r="E126" s="2" t="n"/>
      <c r="F126" s="2" t="n"/>
      <c r="G126" s="18">
        <f>D126*$J$1</f>
        <v/>
      </c>
    </row>
    <row r="127">
      <c r="A127" s="2" t="n"/>
      <c r="B127" s="2" t="n"/>
      <c r="C127" s="2" t="n"/>
      <c r="D127" s="7" t="n"/>
      <c r="E127" s="2" t="n"/>
      <c r="F127" s="2" t="n"/>
      <c r="G127" s="18">
        <f>D127*$J$1</f>
        <v/>
      </c>
    </row>
    <row r="128">
      <c r="A128" s="2" t="n"/>
      <c r="B128" s="2" t="n"/>
      <c r="C128" s="2" t="n"/>
      <c r="D128" s="7" t="n"/>
      <c r="E128" s="2" t="n"/>
      <c r="F128" s="2" t="n"/>
      <c r="G128" s="18">
        <f>D128*$J$1</f>
        <v/>
      </c>
    </row>
    <row r="129">
      <c r="A129" s="2" t="n"/>
      <c r="B129" s="2" t="n"/>
      <c r="C129" s="2" t="n"/>
      <c r="D129" s="7" t="n"/>
      <c r="E129" s="2" t="n"/>
      <c r="F129" s="2" t="n"/>
      <c r="G129" s="18">
        <f>D129*$J$1</f>
        <v/>
      </c>
    </row>
    <row r="130">
      <c r="A130" s="2" t="n"/>
      <c r="B130" s="2" t="n"/>
      <c r="C130" s="2" t="n"/>
      <c r="D130" s="7" t="n"/>
      <c r="E130" s="2" t="n"/>
      <c r="F130" s="2" t="n"/>
      <c r="G130" s="18">
        <f>D130*$J$1</f>
        <v/>
      </c>
    </row>
    <row r="131">
      <c r="A131" s="2" t="n"/>
      <c r="B131" s="2" t="n"/>
      <c r="C131" s="2" t="n"/>
      <c r="D131" s="7" t="n"/>
      <c r="E131" s="2" t="n"/>
      <c r="F131" s="2" t="n"/>
      <c r="G131" s="18">
        <f>D131*$J$1</f>
        <v/>
      </c>
    </row>
    <row r="132">
      <c r="A132" s="2" t="n"/>
      <c r="B132" s="2" t="n"/>
      <c r="C132" s="2" t="n"/>
      <c r="D132" s="7" t="n"/>
      <c r="E132" s="2" t="n"/>
      <c r="F132" s="2" t="n"/>
      <c r="G132" s="18">
        <f>D132*$J$1</f>
        <v/>
      </c>
    </row>
    <row r="133">
      <c r="A133" s="2" t="n"/>
      <c r="B133" s="2" t="n"/>
      <c r="C133" s="2" t="n"/>
      <c r="D133" s="7" t="n"/>
      <c r="E133" s="2" t="n"/>
      <c r="F133" s="2" t="n"/>
      <c r="G133" s="18">
        <f>D133*$J$1</f>
        <v/>
      </c>
    </row>
    <row r="134">
      <c r="A134" s="2" t="n"/>
      <c r="B134" s="2" t="n"/>
      <c r="C134" s="2" t="n"/>
      <c r="D134" s="7" t="n"/>
      <c r="E134" s="2" t="n"/>
      <c r="F134" s="2" t="n"/>
      <c r="G134" s="18">
        <f>D134*$J$1</f>
        <v/>
      </c>
    </row>
    <row r="135">
      <c r="A135" s="2" t="n"/>
      <c r="B135" s="2" t="n"/>
      <c r="C135" s="2" t="n"/>
      <c r="D135" s="7" t="n"/>
      <c r="E135" s="2" t="n"/>
      <c r="F135" s="2" t="n"/>
      <c r="G135" s="18">
        <f>D135*$J$1</f>
        <v/>
      </c>
    </row>
    <row r="136">
      <c r="A136" s="2" t="n"/>
      <c r="B136" s="2" t="n"/>
      <c r="C136" s="2" t="n"/>
      <c r="D136" s="7" t="n"/>
      <c r="E136" s="2" t="n"/>
      <c r="F136" s="2" t="n"/>
      <c r="G136" s="18">
        <f>D136*$J$1</f>
        <v/>
      </c>
    </row>
    <row r="137">
      <c r="A137" s="2" t="n"/>
      <c r="B137" s="2" t="n"/>
      <c r="C137" s="2" t="n"/>
      <c r="D137" s="7" t="n"/>
      <c r="E137" s="2" t="n"/>
      <c r="F137" s="2" t="n"/>
      <c r="G137" s="18">
        <f>D137*$J$1</f>
        <v/>
      </c>
    </row>
    <row r="138">
      <c r="A138" s="2" t="n"/>
      <c r="B138" s="2" t="n"/>
      <c r="C138" s="2" t="n"/>
      <c r="D138" s="7" t="n"/>
      <c r="E138" s="2" t="n"/>
      <c r="F138" s="2" t="n"/>
      <c r="G138" s="18">
        <f>D138*$J$1</f>
        <v/>
      </c>
    </row>
    <row r="139">
      <c r="A139" s="2" t="n"/>
      <c r="B139" s="2" t="n"/>
      <c r="C139" s="2" t="n"/>
      <c r="D139" s="7" t="n"/>
      <c r="E139" s="2" t="n"/>
      <c r="F139" s="2" t="n"/>
      <c r="G139" s="18">
        <f>D139*$J$1</f>
        <v/>
      </c>
    </row>
    <row r="140">
      <c r="A140" s="2" t="n"/>
      <c r="B140" s="2" t="n"/>
      <c r="C140" s="2" t="n"/>
      <c r="D140" s="7" t="n"/>
      <c r="E140" s="2" t="n"/>
      <c r="F140" s="2" t="n"/>
      <c r="G140" s="18">
        <f>D140*$J$1</f>
        <v/>
      </c>
    </row>
    <row r="141">
      <c r="A141" s="2" t="n"/>
      <c r="B141" s="2" t="n"/>
      <c r="C141" s="2" t="n"/>
      <c r="D141" s="7" t="n"/>
      <c r="E141" s="2" t="n"/>
      <c r="F141" s="2" t="n"/>
      <c r="G141" s="18">
        <f>D141*$J$1</f>
        <v/>
      </c>
    </row>
    <row r="142">
      <c r="A142" s="2" t="n"/>
      <c r="B142" s="2" t="n"/>
      <c r="C142" s="2" t="n"/>
      <c r="D142" s="7" t="n"/>
      <c r="E142" s="2" t="n"/>
      <c r="F142" s="2" t="n"/>
      <c r="G142" s="18">
        <f>D142*$J$1</f>
        <v/>
      </c>
    </row>
    <row r="143">
      <c r="A143" s="2" t="n"/>
      <c r="B143" s="2" t="n"/>
      <c r="C143" s="2" t="n"/>
      <c r="D143" s="7" t="n"/>
      <c r="E143" s="2" t="n"/>
      <c r="F143" s="2" t="n"/>
      <c r="G143" s="18">
        <f>D143*$J$1</f>
        <v/>
      </c>
    </row>
    <row r="144">
      <c r="A144" s="2" t="n"/>
      <c r="B144" s="2" t="n"/>
      <c r="C144" s="2" t="n"/>
      <c r="D144" s="7" t="n"/>
      <c r="E144" s="2" t="n"/>
      <c r="F144" s="2" t="n"/>
      <c r="G144" s="18">
        <f>D144*$J$1</f>
        <v/>
      </c>
    </row>
    <row r="145">
      <c r="A145" s="2" t="n"/>
      <c r="B145" s="2" t="n"/>
      <c r="C145" s="2" t="n"/>
      <c r="D145" s="7" t="n"/>
      <c r="E145" s="2" t="n"/>
      <c r="F145" s="2" t="n"/>
      <c r="G145" s="18">
        <f>D145*$J$1</f>
        <v/>
      </c>
    </row>
    <row r="146">
      <c r="A146" s="2" t="n"/>
      <c r="B146" s="2" t="n"/>
      <c r="C146" s="2" t="n"/>
      <c r="D146" s="7" t="n"/>
      <c r="E146" s="2" t="n"/>
      <c r="F146" s="2" t="n"/>
      <c r="G146" s="18">
        <f>D146*$J$1</f>
        <v/>
      </c>
    </row>
    <row r="147">
      <c r="A147" s="2" t="n"/>
      <c r="B147" s="2" t="n"/>
      <c r="C147" s="2" t="n"/>
      <c r="D147" s="7" t="n"/>
      <c r="E147" s="2" t="n"/>
      <c r="F147" s="2" t="n"/>
      <c r="G147" s="18">
        <f>D147*$J$1</f>
        <v/>
      </c>
    </row>
    <row r="148">
      <c r="A148" s="2" t="n"/>
      <c r="B148" s="2" t="n"/>
      <c r="C148" s="2" t="n"/>
      <c r="D148" s="7" t="n"/>
      <c r="E148" s="2" t="n"/>
      <c r="F148" s="2" t="n"/>
      <c r="G148" s="18">
        <f>D148*$J$1</f>
        <v/>
      </c>
    </row>
    <row r="149">
      <c r="A149" s="2" t="n"/>
      <c r="B149" s="2" t="n"/>
      <c r="C149" s="2" t="n"/>
      <c r="D149" s="7" t="n"/>
      <c r="E149" s="2" t="n"/>
      <c r="F149" s="2" t="n"/>
      <c r="G149" s="18">
        <f>D149*$J$1</f>
        <v/>
      </c>
    </row>
    <row r="150">
      <c r="A150" s="2" t="n"/>
      <c r="B150" s="2" t="n"/>
      <c r="C150" s="2" t="n"/>
      <c r="D150" s="7" t="n"/>
      <c r="E150" s="2" t="n"/>
      <c r="F150" s="2" t="n"/>
      <c r="G150" s="18">
        <f>D150*$J$1</f>
        <v/>
      </c>
    </row>
    <row r="151">
      <c r="A151" s="2" t="n"/>
      <c r="B151" s="2" t="n"/>
      <c r="C151" s="2" t="n"/>
      <c r="D151" s="7" t="n"/>
      <c r="E151" s="2" t="n"/>
      <c r="F151" s="2" t="n"/>
      <c r="G151" s="18">
        <f>D151*$J$1</f>
        <v/>
      </c>
    </row>
    <row r="152">
      <c r="A152" s="2" t="n"/>
      <c r="B152" s="2" t="n"/>
      <c r="C152" s="2" t="n"/>
      <c r="D152" s="7" t="n"/>
      <c r="E152" s="2" t="n"/>
      <c r="F152" s="2" t="n"/>
      <c r="G152" s="18">
        <f>D152*$J$1</f>
        <v/>
      </c>
    </row>
    <row r="153">
      <c r="A153" s="2" t="n"/>
      <c r="B153" s="2" t="n"/>
      <c r="C153" s="2" t="n"/>
      <c r="D153" s="7" t="n"/>
      <c r="E153" s="2" t="n"/>
      <c r="F153" s="2" t="n"/>
      <c r="G153" s="18">
        <f>D153*$J$1</f>
        <v/>
      </c>
    </row>
    <row r="154">
      <c r="A154" s="2" t="n"/>
      <c r="B154" s="2" t="n"/>
      <c r="C154" s="2" t="n"/>
      <c r="D154" s="7" t="n"/>
      <c r="E154" s="2" t="n"/>
      <c r="F154" s="2" t="n"/>
      <c r="G154" s="18">
        <f>D154*$J$1</f>
        <v/>
      </c>
    </row>
    <row r="155">
      <c r="A155" s="2" t="n"/>
      <c r="B155" s="2" t="n"/>
      <c r="C155" s="2" t="n"/>
      <c r="D155" s="7" t="n"/>
      <c r="E155" s="2" t="n"/>
      <c r="F155" s="2" t="n"/>
      <c r="G155" s="18">
        <f>D155*$J$1</f>
        <v/>
      </c>
    </row>
    <row r="156">
      <c r="A156" s="2" t="n"/>
      <c r="B156" s="2" t="n"/>
      <c r="C156" s="2" t="n"/>
      <c r="D156" s="7" t="n"/>
      <c r="E156" s="2" t="n"/>
      <c r="F156" s="2" t="n"/>
      <c r="G156" s="18">
        <f>D156*$J$1</f>
        <v/>
      </c>
    </row>
    <row r="157">
      <c r="A157" s="2" t="n"/>
      <c r="B157" s="2" t="n"/>
      <c r="C157" s="2" t="n"/>
      <c r="D157" s="7" t="n"/>
      <c r="E157" s="2" t="n"/>
      <c r="F157" s="2" t="n"/>
      <c r="G157" s="18">
        <f>D157*$J$1</f>
        <v/>
      </c>
    </row>
    <row r="158">
      <c r="A158" s="2" t="n"/>
      <c r="B158" s="2" t="n"/>
      <c r="C158" s="2" t="n"/>
      <c r="D158" s="7" t="n"/>
      <c r="E158" s="2" t="n"/>
      <c r="F158" s="2" t="n"/>
      <c r="G158" s="18">
        <f>D158*$J$1</f>
        <v/>
      </c>
    </row>
    <row r="159">
      <c r="A159" s="2" t="n"/>
      <c r="B159" s="2" t="n"/>
      <c r="C159" s="2" t="n"/>
      <c r="D159" s="7" t="n"/>
      <c r="E159" s="2" t="n"/>
      <c r="F159" s="2" t="n"/>
      <c r="G159" s="18">
        <f>D159*$J$1</f>
        <v/>
      </c>
    </row>
    <row r="160">
      <c r="A160" s="2" t="n"/>
      <c r="B160" s="2" t="n"/>
      <c r="C160" s="2" t="n"/>
      <c r="D160" s="7" t="n"/>
      <c r="E160" s="2" t="n"/>
      <c r="F160" s="2" t="n"/>
      <c r="G160" s="18">
        <f>D160*$J$1</f>
        <v/>
      </c>
    </row>
    <row r="161">
      <c r="A161" s="2" t="n"/>
      <c r="B161" s="2" t="n"/>
      <c r="C161" s="2" t="n"/>
      <c r="D161" s="7" t="n"/>
      <c r="E161" s="2" t="n"/>
      <c r="F161" s="2" t="n"/>
      <c r="G161" s="18">
        <f>D161*$J$1</f>
        <v/>
      </c>
    </row>
    <row r="162">
      <c r="A162" s="2" t="n"/>
      <c r="B162" s="2" t="n"/>
      <c r="C162" s="2" t="n"/>
      <c r="D162" s="7" t="n"/>
      <c r="E162" s="2" t="n"/>
      <c r="F162" s="2" t="n"/>
      <c r="G162" s="18">
        <f>D162*$J$1</f>
        <v/>
      </c>
    </row>
    <row r="163">
      <c r="A163" s="2" t="n"/>
      <c r="B163" s="2" t="n"/>
      <c r="C163" s="2" t="n"/>
      <c r="D163" s="7" t="n"/>
      <c r="E163" s="2" t="n"/>
      <c r="F163" s="2" t="n"/>
      <c r="G163" s="18">
        <f>D163*$J$1</f>
        <v/>
      </c>
    </row>
    <row r="164">
      <c r="A164" s="2" t="n"/>
      <c r="B164" s="2" t="n"/>
      <c r="C164" s="2" t="n"/>
      <c r="D164" s="7" t="n"/>
      <c r="E164" s="2" t="n"/>
      <c r="F164" s="2" t="n"/>
      <c r="G164" s="18">
        <f>D164*$J$1</f>
        <v/>
      </c>
    </row>
    <row r="165">
      <c r="A165" s="2" t="n"/>
      <c r="B165" s="2" t="n"/>
      <c r="C165" s="2" t="n"/>
      <c r="D165" s="7" t="n"/>
      <c r="E165" s="2" t="n"/>
      <c r="F165" s="2" t="n"/>
      <c r="G165" s="18">
        <f>D165*$J$1</f>
        <v/>
      </c>
    </row>
    <row r="166">
      <c r="A166" s="2" t="n"/>
      <c r="B166" s="2" t="n"/>
      <c r="C166" s="2" t="n"/>
      <c r="D166" s="7" t="n"/>
      <c r="E166" s="2" t="n"/>
      <c r="F166" s="2" t="n"/>
      <c r="G166" s="18">
        <f>D166*$J$1</f>
        <v/>
      </c>
    </row>
    <row r="167">
      <c r="A167" s="2" t="n"/>
      <c r="B167" s="2" t="n"/>
      <c r="C167" s="2" t="n"/>
      <c r="D167" s="7" t="n"/>
      <c r="E167" s="2" t="n"/>
      <c r="F167" s="2" t="n"/>
      <c r="G167" s="18">
        <f>D167*$J$1</f>
        <v/>
      </c>
    </row>
    <row r="168">
      <c r="A168" s="2" t="n"/>
      <c r="B168" s="2" t="n"/>
      <c r="C168" s="2" t="n"/>
      <c r="D168" s="7" t="n"/>
      <c r="E168" s="2" t="n"/>
      <c r="F168" s="2" t="n"/>
      <c r="G168" s="18">
        <f>D168*$J$1</f>
        <v/>
      </c>
    </row>
    <row r="169">
      <c r="A169" s="2" t="n"/>
      <c r="B169" s="2" t="n"/>
      <c r="C169" s="2" t="n"/>
      <c r="D169" s="7" t="n"/>
      <c r="E169" s="2" t="n"/>
      <c r="F169" s="2" t="n"/>
      <c r="G169" s="18">
        <f>D169*$J$1</f>
        <v/>
      </c>
    </row>
    <row r="170">
      <c r="A170" s="2" t="n"/>
      <c r="B170" s="2" t="n"/>
      <c r="C170" s="2" t="n"/>
      <c r="D170" s="7" t="n"/>
      <c r="E170" s="2" t="n"/>
      <c r="F170" s="2" t="n"/>
      <c r="G170" s="18">
        <f>D170*$J$1</f>
        <v/>
      </c>
    </row>
    <row r="171">
      <c r="A171" s="2" t="n"/>
      <c r="B171" s="2" t="n"/>
      <c r="C171" s="2" t="n"/>
      <c r="D171" s="7" t="n"/>
      <c r="E171" s="2" t="n"/>
      <c r="F171" s="2" t="n"/>
      <c r="G171" s="18">
        <f>D171*$J$1</f>
        <v/>
      </c>
    </row>
    <row r="172">
      <c r="A172" s="2" t="n"/>
      <c r="B172" s="2" t="n"/>
      <c r="C172" s="2" t="n"/>
      <c r="D172" s="7" t="n"/>
      <c r="E172" s="2" t="n"/>
      <c r="F172" s="2" t="n"/>
      <c r="G172" s="18">
        <f>D172*$J$1</f>
        <v/>
      </c>
    </row>
    <row r="173">
      <c r="A173" s="2" t="n"/>
      <c r="B173" s="2" t="n"/>
      <c r="C173" s="2" t="n"/>
      <c r="D173" s="7" t="n"/>
      <c r="E173" s="2" t="n"/>
      <c r="F173" s="2" t="n"/>
      <c r="G173" s="18">
        <f>D173*$J$1</f>
        <v/>
      </c>
    </row>
    <row r="174">
      <c r="A174" s="2" t="n"/>
      <c r="B174" s="2" t="n"/>
      <c r="C174" s="2" t="n"/>
      <c r="D174" s="7" t="n"/>
      <c r="E174" s="2" t="n"/>
      <c r="F174" s="2" t="n"/>
      <c r="G174" s="18">
        <f>D174*$J$1</f>
        <v/>
      </c>
    </row>
    <row r="175">
      <c r="A175" s="2" t="n"/>
      <c r="B175" s="2" t="n"/>
      <c r="C175" s="2" t="n"/>
      <c r="D175" s="7" t="n"/>
      <c r="E175" s="2" t="n"/>
      <c r="F175" s="2" t="n"/>
      <c r="G175" s="18">
        <f>D175*$J$1</f>
        <v/>
      </c>
    </row>
    <row r="176">
      <c r="A176" s="2" t="n"/>
      <c r="B176" s="2" t="n"/>
      <c r="C176" s="2" t="n"/>
      <c r="D176" s="7" t="n"/>
      <c r="E176" s="2" t="n"/>
      <c r="F176" s="2" t="n"/>
      <c r="G176" s="18">
        <f>D176*$J$1</f>
        <v/>
      </c>
    </row>
    <row r="177">
      <c r="A177" s="2" t="n"/>
      <c r="B177" s="2" t="n"/>
      <c r="C177" s="2" t="n"/>
      <c r="D177" s="7" t="n"/>
      <c r="E177" s="2" t="n"/>
      <c r="F177" s="2" t="n"/>
      <c r="G177" s="18">
        <f>D177*$J$1</f>
        <v/>
      </c>
    </row>
    <row r="178">
      <c r="A178" s="2" t="n"/>
      <c r="B178" s="2" t="n"/>
      <c r="C178" s="2" t="n"/>
      <c r="D178" s="7" t="n"/>
      <c r="E178" s="2" t="n"/>
      <c r="F178" s="2" t="n"/>
      <c r="G178" s="18">
        <f>D178*$J$1</f>
        <v/>
      </c>
    </row>
    <row r="179">
      <c r="A179" s="2" t="n"/>
      <c r="B179" s="2" t="n"/>
      <c r="C179" s="2" t="n"/>
      <c r="D179" s="7" t="n"/>
      <c r="E179" s="2" t="n"/>
      <c r="F179" s="2" t="n"/>
      <c r="G179" s="18">
        <f>D179*$J$1</f>
        <v/>
      </c>
    </row>
    <row r="180">
      <c r="A180" s="2" t="n"/>
      <c r="B180" s="2" t="n"/>
      <c r="C180" s="2" t="n"/>
      <c r="D180" s="7" t="n"/>
      <c r="E180" s="2" t="n"/>
      <c r="F180" s="2" t="n"/>
      <c r="G180" s="18">
        <f>D180*$J$1</f>
        <v/>
      </c>
    </row>
    <row r="181">
      <c r="A181" s="2" t="n"/>
      <c r="B181" s="2" t="n"/>
      <c r="C181" s="2" t="n"/>
      <c r="D181" s="7" t="n"/>
      <c r="E181" s="2" t="n"/>
      <c r="F181" s="2" t="n"/>
      <c r="G181" s="18">
        <f>D181*$J$1</f>
        <v/>
      </c>
    </row>
    <row r="182">
      <c r="A182" s="2" t="n"/>
      <c r="B182" s="2" t="n"/>
      <c r="C182" s="2" t="n"/>
      <c r="D182" s="7" t="n"/>
      <c r="E182" s="2" t="n"/>
      <c r="F182" s="2" t="n"/>
      <c r="G182" s="18">
        <f>D182*$J$1</f>
        <v/>
      </c>
    </row>
    <row r="183">
      <c r="A183" s="2" t="n"/>
      <c r="B183" s="2" t="n"/>
      <c r="C183" s="2" t="n"/>
      <c r="D183" s="7" t="n"/>
      <c r="E183" s="2" t="n"/>
      <c r="F183" s="2" t="n"/>
      <c r="G183" s="18">
        <f>D183*$J$1</f>
        <v/>
      </c>
    </row>
    <row r="184">
      <c r="A184" s="2" t="n"/>
      <c r="B184" s="2" t="n"/>
      <c r="C184" s="2" t="n"/>
      <c r="D184" s="7" t="n"/>
      <c r="E184" s="2" t="n"/>
      <c r="F184" s="2" t="n"/>
      <c r="G184" s="18">
        <f>D184*$J$1</f>
        <v/>
      </c>
    </row>
    <row r="185">
      <c r="A185" s="2" t="n"/>
      <c r="B185" s="2" t="n"/>
      <c r="C185" s="2" t="n"/>
      <c r="D185" s="7" t="n"/>
      <c r="E185" s="2" t="n"/>
      <c r="F185" s="2" t="n"/>
      <c r="G185" s="18">
        <f>D185*$J$1</f>
        <v/>
      </c>
    </row>
    <row r="186">
      <c r="A186" s="2" t="n"/>
      <c r="B186" s="2" t="n"/>
      <c r="C186" s="2" t="n"/>
      <c r="D186" s="7" t="n"/>
      <c r="E186" s="2" t="n"/>
      <c r="F186" s="2" t="n"/>
      <c r="G186" s="18">
        <f>D186*$J$1</f>
        <v/>
      </c>
    </row>
    <row r="187">
      <c r="A187" s="2" t="n"/>
      <c r="B187" s="2" t="n"/>
      <c r="C187" s="2" t="n"/>
      <c r="D187" s="7" t="n"/>
      <c r="E187" s="2" t="n"/>
      <c r="F187" s="2" t="n"/>
      <c r="G187" s="18">
        <f>D187*$J$1</f>
        <v/>
      </c>
    </row>
    <row r="188">
      <c r="A188" s="2" t="n"/>
      <c r="B188" s="2" t="n"/>
      <c r="C188" s="2" t="n"/>
      <c r="D188" s="7" t="n"/>
      <c r="E188" s="2" t="n"/>
      <c r="F188" s="2" t="n"/>
      <c r="G188" s="18">
        <f>D188*$J$1</f>
        <v/>
      </c>
    </row>
    <row r="189">
      <c r="A189" s="2" t="n"/>
      <c r="B189" s="2" t="n"/>
      <c r="C189" s="2" t="n"/>
      <c r="D189" s="7" t="n"/>
      <c r="E189" s="2" t="n"/>
      <c r="F189" s="2" t="n"/>
      <c r="G189" s="18">
        <f>D189*$J$1</f>
        <v/>
      </c>
    </row>
    <row r="190">
      <c r="A190" s="2" t="n"/>
      <c r="B190" s="2" t="n"/>
      <c r="C190" s="2" t="n"/>
      <c r="D190" s="7" t="n"/>
      <c r="E190" s="2" t="n"/>
      <c r="F190" s="2" t="n"/>
      <c r="G190" s="18">
        <f>D190*$J$1</f>
        <v/>
      </c>
    </row>
    <row r="191">
      <c r="A191" s="2" t="n"/>
      <c r="B191" s="2" t="n"/>
      <c r="C191" s="2" t="n"/>
      <c r="D191" s="7" t="n"/>
      <c r="E191" s="2" t="n"/>
      <c r="F191" s="2" t="n"/>
      <c r="G191" s="18">
        <f>D191*$J$1</f>
        <v/>
      </c>
    </row>
    <row r="192">
      <c r="A192" s="2" t="n"/>
      <c r="B192" s="2" t="n"/>
      <c r="C192" s="2" t="n"/>
      <c r="D192" s="7" t="n"/>
      <c r="E192" s="2" t="n"/>
      <c r="F192" s="2" t="n"/>
      <c r="G192" s="18">
        <f>D192*$J$1</f>
        <v/>
      </c>
    </row>
    <row r="193">
      <c r="A193" s="2" t="n"/>
      <c r="B193" s="2" t="n"/>
      <c r="C193" s="2" t="n"/>
      <c r="D193" s="7" t="n"/>
      <c r="E193" s="2" t="n"/>
      <c r="F193" s="2" t="n"/>
      <c r="G193" s="18">
        <f>D193*$J$1</f>
        <v/>
      </c>
    </row>
    <row r="194">
      <c r="A194" s="2" t="n"/>
      <c r="B194" s="2" t="n"/>
      <c r="C194" s="2" t="n"/>
      <c r="D194" s="7" t="n"/>
      <c r="E194" s="2" t="n"/>
      <c r="F194" s="2" t="n"/>
      <c r="G194" s="18">
        <f>D194*$J$1</f>
        <v/>
      </c>
    </row>
    <row r="195">
      <c r="A195" s="2" t="n"/>
      <c r="B195" s="2" t="n"/>
      <c r="C195" s="2" t="n"/>
      <c r="D195" s="7" t="n"/>
      <c r="E195" s="2" t="n"/>
      <c r="F195" s="2" t="n"/>
      <c r="G195" s="18">
        <f>D195*$J$1</f>
        <v/>
      </c>
    </row>
    <row r="196">
      <c r="A196" s="2" t="n"/>
      <c r="B196" s="2" t="n"/>
      <c r="C196" s="2" t="n"/>
      <c r="D196" s="7" t="n"/>
      <c r="E196" s="2" t="n"/>
      <c r="F196" s="2" t="n"/>
      <c r="G196" s="18">
        <f>D196*$J$1</f>
        <v/>
      </c>
    </row>
    <row r="197">
      <c r="A197" s="2" t="n"/>
      <c r="B197" s="2" t="n"/>
      <c r="C197" s="2" t="n"/>
      <c r="D197" s="7" t="n"/>
      <c r="E197" s="2" t="n"/>
      <c r="F197" s="2" t="n"/>
      <c r="G197" s="18">
        <f>D197*$J$1</f>
        <v/>
      </c>
    </row>
    <row r="198">
      <c r="A198" s="2" t="n"/>
      <c r="B198" s="2" t="n"/>
      <c r="C198" s="2" t="n"/>
      <c r="D198" s="7" t="n"/>
      <c r="E198" s="2" t="n"/>
      <c r="F198" s="2" t="n"/>
      <c r="G198" s="18">
        <f>D198*$J$1</f>
        <v/>
      </c>
    </row>
    <row r="199">
      <c r="A199" s="2" t="n"/>
      <c r="B199" s="2" t="n"/>
      <c r="C199" s="2" t="n"/>
      <c r="D199" s="7" t="n"/>
      <c r="E199" s="2" t="n"/>
      <c r="F199" s="2" t="n"/>
      <c r="G199" s="18">
        <f>D199*$J$1</f>
        <v/>
      </c>
    </row>
    <row r="200">
      <c r="A200" s="2" t="n"/>
      <c r="B200" s="2" t="n"/>
      <c r="C200" s="2" t="n"/>
      <c r="D200" s="7" t="n"/>
      <c r="E200" s="2" t="n"/>
      <c r="F200" s="2" t="n"/>
      <c r="G200" s="18">
        <f>D200*$J$1</f>
        <v/>
      </c>
    </row>
    <row r="201">
      <c r="A201" s="2" t="n"/>
      <c r="B201" s="2" t="n"/>
      <c r="C201" s="2" t="n"/>
      <c r="D201" s="7" t="n"/>
      <c r="E201" s="2" t="n"/>
      <c r="F201" s="2" t="n"/>
      <c r="G201" s="18">
        <f>D201*$J$1</f>
        <v/>
      </c>
    </row>
    <row r="202">
      <c r="A202" s="2" t="n"/>
      <c r="B202" s="2" t="n"/>
      <c r="C202" s="2" t="n"/>
      <c r="D202" s="7" t="n"/>
      <c r="E202" s="2" t="n"/>
      <c r="F202" s="2" t="n"/>
      <c r="G202" s="18">
        <f>D202*$J$1</f>
        <v/>
      </c>
    </row>
    <row r="203">
      <c r="A203" s="2" t="n"/>
      <c r="B203" s="2" t="n"/>
      <c r="C203" s="2" t="n"/>
      <c r="D203" s="7" t="n"/>
      <c r="E203" s="2" t="n"/>
      <c r="F203" s="2" t="n"/>
      <c r="G203" s="18">
        <f>D203*$J$1</f>
        <v/>
      </c>
    </row>
    <row r="204">
      <c r="A204" s="2" t="n"/>
      <c r="B204" s="2" t="n"/>
      <c r="C204" s="2" t="n"/>
      <c r="D204" s="7" t="n"/>
      <c r="E204" s="2" t="n"/>
      <c r="F204" s="2" t="n"/>
      <c r="G204" s="18">
        <f>D204*$J$1</f>
        <v/>
      </c>
    </row>
    <row r="205">
      <c r="A205" s="2" t="n"/>
      <c r="B205" s="2" t="n"/>
      <c r="C205" s="2" t="n"/>
      <c r="D205" s="7" t="n"/>
      <c r="E205" s="2" t="n"/>
      <c r="F205" s="2" t="n"/>
      <c r="G205" s="18">
        <f>D205*$J$1</f>
        <v/>
      </c>
    </row>
    <row r="206">
      <c r="A206" s="2" t="n"/>
      <c r="B206" s="2" t="n"/>
      <c r="C206" s="2" t="n"/>
      <c r="D206" s="7" t="n"/>
      <c r="E206" s="2" t="n"/>
      <c r="F206" s="2" t="n"/>
      <c r="G206" s="18">
        <f>D206*$J$1</f>
        <v/>
      </c>
    </row>
    <row r="207">
      <c r="A207" s="2" t="n"/>
      <c r="B207" s="2" t="n"/>
      <c r="C207" s="2" t="n"/>
      <c r="D207" s="7" t="n"/>
      <c r="E207" s="2" t="n"/>
      <c r="F207" s="2" t="n"/>
      <c r="G207" s="18">
        <f>D207*$J$1</f>
        <v/>
      </c>
    </row>
    <row r="208">
      <c r="A208" s="2" t="n"/>
      <c r="B208" s="2" t="n"/>
      <c r="C208" s="2" t="n"/>
      <c r="D208" s="7" t="n"/>
      <c r="E208" s="2" t="n"/>
      <c r="F208" s="2" t="n"/>
      <c r="G208" s="18">
        <f>D208*$J$1</f>
        <v/>
      </c>
    </row>
    <row r="209">
      <c r="A209" s="2" t="n"/>
      <c r="B209" s="2" t="n"/>
      <c r="C209" s="2" t="n"/>
      <c r="D209" s="7" t="n"/>
      <c r="E209" s="2" t="n"/>
      <c r="F209" s="2" t="n"/>
      <c r="G209" s="18">
        <f>D209*$J$1</f>
        <v/>
      </c>
    </row>
    <row r="210">
      <c r="A210" s="2" t="n"/>
      <c r="B210" s="2" t="n"/>
      <c r="C210" s="2" t="n"/>
      <c r="D210" s="7" t="n"/>
      <c r="E210" s="2" t="n"/>
      <c r="F210" s="2" t="n"/>
      <c r="G210" s="18">
        <f>D210*$J$1</f>
        <v/>
      </c>
    </row>
    <row r="211">
      <c r="A211" s="2" t="n"/>
      <c r="B211" s="2" t="n"/>
      <c r="C211" s="2" t="n"/>
      <c r="D211" s="7" t="n"/>
      <c r="E211" s="2" t="n"/>
      <c r="F211" s="2" t="n"/>
      <c r="G211" s="18">
        <f>D211*$J$1</f>
        <v/>
      </c>
    </row>
    <row r="212">
      <c r="A212" s="2" t="n"/>
      <c r="B212" s="2" t="n"/>
      <c r="C212" s="2" t="n"/>
      <c r="D212" s="7" t="n"/>
      <c r="E212" s="2" t="n"/>
      <c r="F212" s="2" t="n"/>
      <c r="G212" s="18">
        <f>D212*$J$1</f>
        <v/>
      </c>
    </row>
    <row r="213">
      <c r="A213" s="2" t="n"/>
      <c r="B213" s="2" t="n"/>
      <c r="C213" s="2" t="n"/>
      <c r="D213" s="7" t="n"/>
      <c r="E213" s="2" t="n"/>
      <c r="F213" s="2" t="n"/>
      <c r="G213" s="18">
        <f>D213*$J$1</f>
        <v/>
      </c>
    </row>
    <row r="214">
      <c r="A214" s="2" t="n"/>
      <c r="B214" s="2" t="n"/>
      <c r="C214" s="2" t="n"/>
      <c r="D214" s="7" t="n"/>
      <c r="E214" s="2" t="n"/>
      <c r="F214" s="2" t="n"/>
      <c r="G214" s="18">
        <f>D214*$J$1</f>
        <v/>
      </c>
    </row>
    <row r="215">
      <c r="A215" s="2" t="n"/>
      <c r="B215" s="2" t="n"/>
      <c r="C215" s="2" t="n"/>
      <c r="D215" s="7" t="n"/>
      <c r="E215" s="2" t="n"/>
      <c r="F215" s="2" t="n"/>
      <c r="G215" s="18">
        <f>D215*$J$1</f>
        <v/>
      </c>
    </row>
    <row r="216">
      <c r="A216" s="2" t="n"/>
      <c r="B216" s="2" t="n"/>
      <c r="C216" s="2" t="n"/>
      <c r="D216" s="7" t="n"/>
      <c r="E216" s="2" t="n"/>
      <c r="F216" s="2" t="n"/>
      <c r="G216" s="18">
        <f>D216*$J$1</f>
        <v/>
      </c>
    </row>
    <row r="217">
      <c r="A217" s="2" t="n"/>
      <c r="B217" s="2" t="n"/>
      <c r="C217" s="2" t="n"/>
      <c r="D217" s="7" t="n"/>
      <c r="E217" s="2" t="n"/>
      <c r="F217" s="2" t="n"/>
      <c r="G217" s="18">
        <f>D217*$J$1</f>
        <v/>
      </c>
    </row>
    <row r="218">
      <c r="A218" s="2" t="n"/>
      <c r="B218" s="2" t="n"/>
      <c r="C218" s="2" t="n"/>
      <c r="D218" s="7" t="n"/>
      <c r="E218" s="2" t="n"/>
      <c r="F218" s="2" t="n"/>
      <c r="G218" s="18">
        <f>D218*$J$1</f>
        <v/>
      </c>
    </row>
    <row r="219">
      <c r="A219" s="2" t="n"/>
      <c r="B219" s="2" t="n"/>
      <c r="C219" s="2" t="n"/>
      <c r="D219" s="7" t="n"/>
      <c r="E219" s="2" t="n"/>
      <c r="F219" s="2" t="n"/>
      <c r="G219" s="18">
        <f>D219*$J$1</f>
        <v/>
      </c>
    </row>
    <row r="220">
      <c r="A220" s="2" t="n"/>
      <c r="B220" s="2" t="n"/>
      <c r="C220" s="2" t="n"/>
      <c r="D220" s="7" t="n"/>
      <c r="E220" s="2" t="n"/>
      <c r="F220" s="2" t="n"/>
      <c r="G220" s="18">
        <f>D220*$J$1</f>
        <v/>
      </c>
    </row>
    <row r="221">
      <c r="A221" s="2" t="n"/>
      <c r="B221" s="2" t="n"/>
      <c r="C221" s="2" t="n"/>
      <c r="D221" s="7" t="n"/>
      <c r="E221" s="2" t="n"/>
      <c r="F221" s="2" t="n"/>
      <c r="G221" s="18">
        <f>D221*$J$1</f>
        <v/>
      </c>
    </row>
    <row r="222">
      <c r="A222" s="2" t="n"/>
      <c r="B222" s="2" t="n"/>
      <c r="C222" s="2" t="n"/>
      <c r="D222" s="7" t="n"/>
      <c r="E222" s="2" t="n"/>
      <c r="F222" s="2" t="n"/>
      <c r="G222" s="18">
        <f>D222*$J$1</f>
        <v/>
      </c>
    </row>
    <row r="223">
      <c r="A223" s="2" t="n"/>
      <c r="B223" s="2" t="n"/>
      <c r="C223" s="2" t="n"/>
      <c r="D223" s="7" t="n"/>
      <c r="E223" s="2" t="n"/>
      <c r="F223" s="2" t="n"/>
      <c r="G223" s="18">
        <f>D223*$J$1</f>
        <v/>
      </c>
    </row>
    <row r="224">
      <c r="A224" s="2" t="n"/>
      <c r="B224" s="2" t="n"/>
      <c r="C224" s="2" t="n"/>
      <c r="D224" s="7" t="n"/>
      <c r="E224" s="2" t="n"/>
      <c r="F224" s="2" t="n"/>
      <c r="G224" s="18">
        <f>D224*$J$1</f>
        <v/>
      </c>
    </row>
    <row r="225">
      <c r="A225" s="2" t="n"/>
      <c r="B225" s="2" t="n"/>
      <c r="C225" s="2" t="n"/>
      <c r="D225" s="7" t="n"/>
      <c r="E225" s="2" t="n"/>
      <c r="F225" s="2" t="n"/>
      <c r="G225" s="18">
        <f>D225*$J$1</f>
        <v/>
      </c>
    </row>
    <row r="226">
      <c r="A226" s="2" t="n"/>
      <c r="B226" s="2" t="n"/>
      <c r="C226" s="2" t="n"/>
      <c r="D226" s="7" t="n"/>
      <c r="E226" s="2" t="n"/>
      <c r="F226" s="2" t="n"/>
      <c r="G226" s="18">
        <f>D226*$J$1</f>
        <v/>
      </c>
    </row>
    <row r="227">
      <c r="A227" s="2" t="n"/>
      <c r="B227" s="2" t="n"/>
      <c r="C227" s="2" t="n"/>
      <c r="D227" s="7" t="n"/>
      <c r="E227" s="2" t="n"/>
      <c r="F227" s="2" t="n"/>
      <c r="G227" s="18">
        <f>D227*$J$1</f>
        <v/>
      </c>
    </row>
    <row r="228">
      <c r="A228" s="2" t="n"/>
      <c r="B228" s="2" t="n"/>
      <c r="C228" s="2" t="n"/>
      <c r="D228" s="7" t="n"/>
      <c r="E228" s="2" t="n"/>
      <c r="F228" s="2" t="n"/>
      <c r="G228" s="18">
        <f>D228*$J$1</f>
        <v/>
      </c>
    </row>
    <row r="229">
      <c r="A229" s="2" t="n"/>
      <c r="B229" s="2" t="n"/>
      <c r="C229" s="2" t="n"/>
      <c r="D229" s="7" t="n"/>
      <c r="E229" s="2" t="n"/>
      <c r="F229" s="2" t="n"/>
      <c r="G229" s="18">
        <f>D229*$J$1</f>
        <v/>
      </c>
    </row>
    <row r="230">
      <c r="A230" s="2" t="n"/>
      <c r="B230" s="2" t="n"/>
      <c r="C230" s="2" t="n"/>
      <c r="D230" s="7" t="n"/>
      <c r="E230" s="2" t="n"/>
      <c r="F230" s="2" t="n"/>
      <c r="G230" s="18">
        <f>D230*$J$1</f>
        <v/>
      </c>
    </row>
    <row r="231">
      <c r="A231" s="2" t="n"/>
      <c r="B231" s="2" t="n"/>
      <c r="C231" s="2" t="n"/>
      <c r="D231" s="7" t="n"/>
      <c r="E231" s="2" t="n"/>
      <c r="F231" s="2" t="n"/>
      <c r="G231" s="18">
        <f>D231*$J$1</f>
        <v/>
      </c>
    </row>
    <row r="232">
      <c r="A232" s="2" t="n"/>
      <c r="B232" s="2" t="n"/>
      <c r="C232" s="2" t="n"/>
      <c r="D232" s="7" t="n"/>
      <c r="E232" s="2" t="n"/>
      <c r="F232" s="2" t="n"/>
      <c r="G232" s="18">
        <f>D232*$J$1</f>
        <v/>
      </c>
    </row>
    <row r="233">
      <c r="A233" s="2" t="n"/>
      <c r="B233" s="2" t="n"/>
      <c r="C233" s="2" t="n"/>
      <c r="D233" s="7" t="n"/>
      <c r="E233" s="2" t="n"/>
      <c r="F233" s="2" t="n"/>
      <c r="G233" s="18">
        <f>D233*$J$1</f>
        <v/>
      </c>
    </row>
    <row r="234">
      <c r="A234" s="2" t="n"/>
      <c r="B234" s="2" t="n"/>
      <c r="C234" s="2" t="n"/>
      <c r="D234" s="7" t="n"/>
      <c r="E234" s="2" t="n"/>
      <c r="F234" s="2" t="n"/>
      <c r="G234" s="18">
        <f>D234*$J$1</f>
        <v/>
      </c>
    </row>
    <row r="235">
      <c r="A235" s="2" t="n"/>
      <c r="B235" s="2" t="n"/>
      <c r="C235" s="2" t="n"/>
      <c r="D235" s="7" t="n"/>
      <c r="E235" s="2" t="n"/>
      <c r="F235" s="2" t="n"/>
      <c r="G235" s="18">
        <f>D235*$J$1</f>
        <v/>
      </c>
    </row>
    <row r="236">
      <c r="A236" s="2" t="n"/>
      <c r="B236" s="2" t="n"/>
      <c r="C236" s="2" t="n"/>
      <c r="D236" s="7" t="n"/>
      <c r="E236" s="2" t="n"/>
      <c r="F236" s="2" t="n"/>
      <c r="G236" s="18">
        <f>D236*$J$1</f>
        <v/>
      </c>
    </row>
    <row r="237">
      <c r="A237" s="2" t="n"/>
      <c r="B237" s="2" t="n"/>
      <c r="C237" s="2" t="n"/>
      <c r="D237" s="7" t="n"/>
      <c r="E237" s="2" t="n"/>
      <c r="F237" s="2" t="n"/>
      <c r="G237" s="18">
        <f>D237*$J$1</f>
        <v/>
      </c>
    </row>
    <row r="238">
      <c r="A238" s="2" t="n"/>
      <c r="B238" s="2" t="n"/>
      <c r="C238" s="2" t="n"/>
      <c r="D238" s="7" t="n"/>
      <c r="E238" s="2" t="n"/>
      <c r="F238" s="2" t="n"/>
      <c r="G238" s="18">
        <f>D238*$J$1</f>
        <v/>
      </c>
    </row>
    <row r="239">
      <c r="A239" s="2" t="n"/>
      <c r="B239" s="2" t="n"/>
      <c r="C239" s="2" t="n"/>
      <c r="D239" s="7" t="n"/>
      <c r="E239" s="2" t="n"/>
      <c r="F239" s="2" t="n"/>
      <c r="G239" s="18">
        <f>D239*$J$1</f>
        <v/>
      </c>
    </row>
    <row r="240">
      <c r="A240" s="2" t="n"/>
      <c r="B240" s="2" t="n"/>
      <c r="C240" s="2" t="n"/>
      <c r="D240" s="7" t="n"/>
      <c r="E240" s="2" t="n"/>
      <c r="F240" s="2" t="n"/>
      <c r="G240" s="18">
        <f>D240*$J$1</f>
        <v/>
      </c>
    </row>
    <row r="241">
      <c r="A241" s="2" t="n"/>
      <c r="B241" s="2" t="n"/>
      <c r="C241" s="2" t="n"/>
      <c r="D241" s="7" t="n"/>
      <c r="E241" s="2" t="n"/>
      <c r="F241" s="2" t="n"/>
      <c r="G241" s="18">
        <f>D241*$J$1</f>
        <v/>
      </c>
    </row>
    <row r="242">
      <c r="A242" s="2" t="n"/>
      <c r="B242" s="2" t="n"/>
      <c r="C242" s="2" t="n"/>
      <c r="D242" s="7" t="n"/>
      <c r="E242" s="2" t="n"/>
      <c r="F242" s="2" t="n"/>
      <c r="G242" s="18">
        <f>D242*$J$1</f>
        <v/>
      </c>
    </row>
    <row r="243">
      <c r="A243" s="2" t="n"/>
      <c r="B243" s="2" t="n"/>
      <c r="C243" s="2" t="n"/>
      <c r="D243" s="7" t="n"/>
      <c r="E243" s="2" t="n"/>
      <c r="F243" s="2" t="n"/>
      <c r="G243" s="18">
        <f>D243*$J$1</f>
        <v/>
      </c>
    </row>
    <row r="244">
      <c r="A244" s="2" t="n"/>
      <c r="B244" s="2" t="n"/>
      <c r="C244" s="2" t="n"/>
      <c r="D244" s="7" t="n"/>
      <c r="E244" s="2" t="n"/>
      <c r="F244" s="2" t="n"/>
      <c r="G244" s="18">
        <f>D244*$J$1</f>
        <v/>
      </c>
    </row>
    <row r="245">
      <c r="A245" s="2" t="n"/>
      <c r="B245" s="2" t="n"/>
      <c r="C245" s="2" t="n"/>
      <c r="D245" s="7" t="n"/>
      <c r="E245" s="2" t="n"/>
      <c r="F245" s="2" t="n"/>
      <c r="G245" s="18">
        <f>D245*$J$1</f>
        <v/>
      </c>
    </row>
    <row r="246">
      <c r="A246" s="2" t="n"/>
      <c r="B246" s="2" t="n"/>
      <c r="C246" s="2" t="n"/>
      <c r="D246" s="7" t="n"/>
      <c r="E246" s="2" t="n"/>
      <c r="F246" s="2" t="n"/>
      <c r="G246" s="18">
        <f>D246*$J$1</f>
        <v/>
      </c>
    </row>
    <row r="247">
      <c r="A247" s="2" t="n"/>
      <c r="B247" s="2" t="n"/>
      <c r="C247" s="2" t="n"/>
      <c r="D247" s="7" t="n"/>
      <c r="E247" s="2" t="n"/>
      <c r="F247" s="2" t="n"/>
      <c r="G247" s="18">
        <f>D247*$J$1</f>
        <v/>
      </c>
    </row>
    <row r="248">
      <c r="A248" s="2" t="n"/>
      <c r="B248" s="2" t="n"/>
      <c r="C248" s="2" t="n"/>
      <c r="D248" s="7" t="n"/>
      <c r="E248" s="2" t="n"/>
      <c r="F248" s="2" t="n"/>
      <c r="G248" s="18">
        <f>D248*$J$1</f>
        <v/>
      </c>
    </row>
    <row r="249">
      <c r="A249" s="2" t="n"/>
      <c r="B249" s="2" t="n"/>
      <c r="C249" s="2" t="n"/>
      <c r="D249" s="7" t="n"/>
      <c r="E249" s="2" t="n"/>
      <c r="F249" s="2" t="n"/>
      <c r="G249" s="18">
        <f>D249*$J$1</f>
        <v/>
      </c>
    </row>
    <row r="250">
      <c r="A250" s="2" t="n"/>
      <c r="B250" s="2" t="n"/>
      <c r="C250" s="2" t="n"/>
      <c r="D250" s="7" t="n"/>
      <c r="E250" s="2" t="n"/>
      <c r="F250" s="2" t="n"/>
      <c r="G250" s="18">
        <f>D250*$J$1</f>
        <v/>
      </c>
    </row>
    <row r="251">
      <c r="A251" s="2" t="n"/>
      <c r="B251" s="2" t="n"/>
      <c r="C251" s="2" t="n"/>
      <c r="D251" s="7" t="n"/>
      <c r="E251" s="2" t="n"/>
      <c r="F251" s="2" t="n"/>
      <c r="G251" s="18">
        <f>D251*$J$1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Month</t>
        </is>
      </c>
      <c r="B1" s="15" t="inlineStr">
        <is>
          <t>Income ($)</t>
        </is>
      </c>
      <c r="C1" s="15" t="inlineStr">
        <is>
          <t>Expenses ($)</t>
        </is>
      </c>
      <c r="D1" s="15" t="inlineStr">
        <is>
          <t>Net Profit ($)</t>
        </is>
      </c>
    </row>
    <row r="2">
      <c r="A2" s="17" t="inlineStr">
        <is>
          <t>January</t>
        </is>
      </c>
      <c r="B2" s="3" t="inlineStr"/>
      <c r="C2" s="18">
        <f>'Monthly Totals'!B2</f>
        <v/>
      </c>
      <c r="D2" s="18">
        <f>B2-C2</f>
        <v/>
      </c>
    </row>
    <row r="3">
      <c r="A3" s="17" t="inlineStr">
        <is>
          <t>February</t>
        </is>
      </c>
      <c r="B3" s="3" t="inlineStr"/>
      <c r="C3" s="18">
        <f>'Monthly Totals'!B3</f>
        <v/>
      </c>
      <c r="D3" s="18">
        <f>B3-C3</f>
        <v/>
      </c>
    </row>
    <row r="4">
      <c r="A4" s="17" t="inlineStr">
        <is>
          <t>March</t>
        </is>
      </c>
      <c r="B4" s="3" t="inlineStr"/>
      <c r="C4" s="18">
        <f>'Monthly Totals'!B4</f>
        <v/>
      </c>
      <c r="D4" s="18">
        <f>B4-C4</f>
        <v/>
      </c>
    </row>
    <row r="5">
      <c r="A5" s="17" t="inlineStr">
        <is>
          <t>April</t>
        </is>
      </c>
      <c r="B5" s="3" t="inlineStr"/>
      <c r="C5" s="18">
        <f>'Monthly Totals'!B5</f>
        <v/>
      </c>
      <c r="D5" s="18">
        <f>B5-C5</f>
        <v/>
      </c>
    </row>
    <row r="6">
      <c r="A6" s="17" t="inlineStr">
        <is>
          <t>May</t>
        </is>
      </c>
      <c r="B6" s="3" t="inlineStr"/>
      <c r="C6" s="18">
        <f>'Monthly Totals'!B6</f>
        <v/>
      </c>
      <c r="D6" s="18">
        <f>B6-C6</f>
        <v/>
      </c>
    </row>
    <row r="7">
      <c r="A7" s="17" t="inlineStr">
        <is>
          <t>June</t>
        </is>
      </c>
      <c r="B7" s="3" t="inlineStr"/>
      <c r="C7" s="18">
        <f>'Monthly Totals'!B7</f>
        <v/>
      </c>
      <c r="D7" s="18">
        <f>B7-C7</f>
        <v/>
      </c>
    </row>
    <row r="8">
      <c r="A8" s="17" t="inlineStr">
        <is>
          <t>July</t>
        </is>
      </c>
      <c r="B8" s="3" t="inlineStr"/>
      <c r="C8" s="18">
        <f>'Monthly Totals'!B8</f>
        <v/>
      </c>
      <c r="D8" s="18">
        <f>B8-C8</f>
        <v/>
      </c>
    </row>
    <row r="9">
      <c r="A9" s="17" t="inlineStr">
        <is>
          <t>August</t>
        </is>
      </c>
      <c r="B9" s="3" t="inlineStr"/>
      <c r="C9" s="18">
        <f>'Monthly Totals'!B9</f>
        <v/>
      </c>
      <c r="D9" s="18">
        <f>B9-C9</f>
        <v/>
      </c>
    </row>
    <row r="10">
      <c r="A10" s="17" t="inlineStr">
        <is>
          <t>September</t>
        </is>
      </c>
      <c r="B10" s="3" t="inlineStr"/>
      <c r="C10" s="18">
        <f>'Monthly Totals'!B10</f>
        <v/>
      </c>
      <c r="D10" s="18">
        <f>B10-C10</f>
        <v/>
      </c>
    </row>
    <row r="11">
      <c r="A11" s="17" t="inlineStr">
        <is>
          <t>October</t>
        </is>
      </c>
      <c r="B11" s="3" t="inlineStr"/>
      <c r="C11" s="18">
        <f>'Monthly Totals'!B11</f>
        <v/>
      </c>
      <c r="D11" s="18">
        <f>B11-C11</f>
        <v/>
      </c>
    </row>
    <row r="12">
      <c r="A12" s="17" t="inlineStr">
        <is>
          <t>November</t>
        </is>
      </c>
      <c r="B12" s="3" t="inlineStr"/>
      <c r="C12" s="18">
        <f>'Monthly Totals'!B12</f>
        <v/>
      </c>
      <c r="D12" s="18">
        <f>B12-C12</f>
        <v/>
      </c>
    </row>
    <row r="13">
      <c r="A13" s="17" t="inlineStr">
        <is>
          <t>December</t>
        </is>
      </c>
      <c r="B13" s="3" t="inlineStr"/>
      <c r="C13" s="18">
        <f>'Monthly Totals'!B13</f>
        <v/>
      </c>
      <c r="D13" s="18">
        <f>B13-C13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📉 Cash Flow Dashboard</t>
        </is>
      </c>
    </row>
    <row r="2"/>
    <row r="3">
      <c r="A3" s="15" t="inlineStr">
        <is>
          <t>Month</t>
        </is>
      </c>
      <c r="B3" s="15" t="inlineStr">
        <is>
          <t>Income ($)</t>
        </is>
      </c>
      <c r="C3" s="15" t="inlineStr">
        <is>
          <t>Expenses ($)</t>
        </is>
      </c>
      <c r="D3" s="15" t="inlineStr">
        <is>
          <t>Cash Flow ($)</t>
        </is>
      </c>
    </row>
    <row r="4">
      <c r="A4" s="17" t="inlineStr">
        <is>
          <t>January</t>
        </is>
      </c>
      <c r="B4" s="18">
        <f>'Profit &amp; Loss'!B4</f>
        <v/>
      </c>
      <c r="C4" s="18">
        <f>'Profit &amp; Loss'!C4</f>
        <v/>
      </c>
      <c r="D4" s="18">
        <f>B4-C4</f>
        <v/>
      </c>
    </row>
    <row r="5">
      <c r="A5" s="17" t="inlineStr">
        <is>
          <t>February</t>
        </is>
      </c>
      <c r="B5" s="18">
        <f>'Profit &amp; Loss'!B5</f>
        <v/>
      </c>
      <c r="C5" s="18">
        <f>'Profit &amp; Loss'!C5</f>
        <v/>
      </c>
      <c r="D5" s="18">
        <f>B5-C5</f>
        <v/>
      </c>
    </row>
    <row r="6">
      <c r="A6" s="17" t="inlineStr">
        <is>
          <t>March</t>
        </is>
      </c>
      <c r="B6" s="18">
        <f>'Profit &amp; Loss'!B6</f>
        <v/>
      </c>
      <c r="C6" s="18">
        <f>'Profit &amp; Loss'!C6</f>
        <v/>
      </c>
      <c r="D6" s="18">
        <f>B6-C6</f>
        <v/>
      </c>
    </row>
    <row r="7">
      <c r="A7" s="17" t="inlineStr">
        <is>
          <t>April</t>
        </is>
      </c>
      <c r="B7" s="18">
        <f>'Profit &amp; Loss'!B7</f>
        <v/>
      </c>
      <c r="C7" s="18">
        <f>'Profit &amp; Loss'!C7</f>
        <v/>
      </c>
      <c r="D7" s="18">
        <f>B7-C7</f>
        <v/>
      </c>
    </row>
    <row r="8">
      <c r="A8" s="17" t="inlineStr">
        <is>
          <t>May</t>
        </is>
      </c>
      <c r="B8" s="18">
        <f>'Profit &amp; Loss'!B8</f>
        <v/>
      </c>
      <c r="C8" s="18">
        <f>'Profit &amp; Loss'!C8</f>
        <v/>
      </c>
      <c r="D8" s="18">
        <f>B8-C8</f>
        <v/>
      </c>
    </row>
    <row r="9">
      <c r="A9" s="17" t="inlineStr">
        <is>
          <t>June</t>
        </is>
      </c>
      <c r="B9" s="18">
        <f>'Profit &amp; Loss'!B9</f>
        <v/>
      </c>
      <c r="C9" s="18">
        <f>'Profit &amp; Loss'!C9</f>
        <v/>
      </c>
      <c r="D9" s="18">
        <f>B9-C9</f>
        <v/>
      </c>
    </row>
    <row r="10">
      <c r="A10" s="17" t="inlineStr">
        <is>
          <t>July</t>
        </is>
      </c>
      <c r="B10" s="18">
        <f>'Profit &amp; Loss'!B10</f>
        <v/>
      </c>
      <c r="C10" s="18">
        <f>'Profit &amp; Loss'!C10</f>
        <v/>
      </c>
      <c r="D10" s="18">
        <f>B10-C10</f>
        <v/>
      </c>
    </row>
    <row r="11">
      <c r="A11" s="17" t="inlineStr">
        <is>
          <t>August</t>
        </is>
      </c>
      <c r="B11" s="18">
        <f>'Profit &amp; Loss'!B11</f>
        <v/>
      </c>
      <c r="C11" s="18">
        <f>'Profit &amp; Loss'!C11</f>
        <v/>
      </c>
      <c r="D11" s="18">
        <f>B11-C11</f>
        <v/>
      </c>
    </row>
    <row r="12">
      <c r="A12" s="17" t="inlineStr">
        <is>
          <t>September</t>
        </is>
      </c>
      <c r="B12" s="18">
        <f>'Profit &amp; Loss'!B12</f>
        <v/>
      </c>
      <c r="C12" s="18">
        <f>'Profit &amp; Loss'!C12</f>
        <v/>
      </c>
      <c r="D12" s="18">
        <f>B12-C12</f>
        <v/>
      </c>
    </row>
    <row r="13">
      <c r="A13" s="17" t="inlineStr">
        <is>
          <t>October</t>
        </is>
      </c>
      <c r="B13" s="18">
        <f>'Profit &amp; Loss'!B13</f>
        <v/>
      </c>
      <c r="C13" s="18">
        <f>'Profit &amp; Loss'!C13</f>
        <v/>
      </c>
      <c r="D13" s="18">
        <f>B13-C13</f>
        <v/>
      </c>
    </row>
    <row r="14">
      <c r="A14" s="17" t="inlineStr">
        <is>
          <t>November</t>
        </is>
      </c>
      <c r="B14" s="18">
        <f>'Profit &amp; Loss'!B14</f>
        <v/>
      </c>
      <c r="C14" s="18">
        <f>'Profit &amp; Loss'!C14</f>
        <v/>
      </c>
      <c r="D14" s="18">
        <f>B14-C14</f>
        <v/>
      </c>
    </row>
    <row r="15">
      <c r="A15" s="17" t="inlineStr">
        <is>
          <t>December</t>
        </is>
      </c>
      <c r="B15" s="18">
        <f>'Profit &amp; Loss'!B15</f>
        <v/>
      </c>
      <c r="C15" s="18">
        <f>'Profit &amp; Loss'!C15</f>
        <v/>
      </c>
      <c r="D15" s="18">
        <f>B15-C15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📊 Hammer Brick &amp; Home – Contractor Dashboard</t>
        </is>
      </c>
    </row>
    <row r="2"/>
    <row r="3">
      <c r="A3" s="16" t="inlineStr">
        <is>
          <t>Metric</t>
        </is>
      </c>
      <c r="B3" s="16" t="inlineStr">
        <is>
          <t>Value</t>
        </is>
      </c>
    </row>
    <row r="4">
      <c r="A4" s="20" t="inlineStr">
        <is>
          <t>Total Expenses (YTD)</t>
        </is>
      </c>
      <c r="B4" s="18">
        <f>SUM(Expenses!$D$2:$D$501)</f>
        <v/>
      </c>
      <c r="D4" s="26" t="inlineStr">
        <is>
          <t>View Category Pie Chart on 'Summary' sheet.</t>
        </is>
      </c>
    </row>
    <row r="5">
      <c r="A5" s="20" t="inlineStr">
        <is>
          <t>Total Income (YTD)</t>
        </is>
      </c>
      <c r="B5" s="18">
        <f>SUM('Profit &amp; Loss'!$B$2:$B$13)</f>
        <v/>
      </c>
      <c r="D5" s="26" t="inlineStr">
        <is>
          <t>View Net Profit Trend on 'Profit &amp; Loss' sheet.</t>
        </is>
      </c>
    </row>
    <row r="6">
      <c r="A6" s="20" t="inlineStr">
        <is>
          <t>Net Profit (YTD)</t>
        </is>
      </c>
      <c r="B6" s="18">
        <f>SUM('Profit &amp; Loss'!$D$2:$D$13)</f>
        <v/>
      </c>
      <c r="D6" s="26" t="inlineStr">
        <is>
          <t>View Cash Flow Chart on 'Cash Flow' sheet.</t>
        </is>
      </c>
    </row>
    <row r="7">
      <c r="A7" s="20" t="inlineStr">
        <is>
          <t>Total Transactions</t>
        </is>
      </c>
      <c r="B7" s="18">
        <f>COUNTA(Expenses!$D$2:$D$501)</f>
        <v/>
      </c>
    </row>
    <row r="8">
      <c r="A8" s="20" t="inlineStr">
        <is>
          <t>Job Entries Logged</t>
        </is>
      </c>
      <c r="B8" s="17">
        <f>COUNTA('Job Expenses'!$A$2:$A$251)</f>
        <v/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Quarter</t>
        </is>
      </c>
      <c r="B1" s="21" t="inlineStr">
        <is>
          <t>Total ($)</t>
        </is>
      </c>
      <c r="D1" s="21" t="inlineStr">
        <is>
          <t>Highest Spending Month:</t>
        </is>
      </c>
      <c r="E1" s="21">
        <f>INDEX('Monthly Totals'!A2:A13, MATCH(MAX('Monthly Totals'!B2:B13), 'Monthly Totals'!B2:B13, 0))</f>
        <v/>
      </c>
    </row>
    <row r="2">
      <c r="A2" s="17" t="inlineStr">
        <is>
          <t>Q1</t>
        </is>
      </c>
      <c r="B2" s="27">
        <f>'Monthly Totals'!B2+'Monthly Totals'!B3+'Monthly Totals'!B4</f>
        <v/>
      </c>
      <c r="D2" s="21" t="inlineStr">
        <is>
          <t>Average Monthly Spend:</t>
        </is>
      </c>
      <c r="E2" s="21">
        <f>AVERAGE('Monthly Totals'!B2:B13)</f>
        <v/>
      </c>
    </row>
    <row r="3">
      <c r="A3" s="17" t="inlineStr">
        <is>
          <t>Q2</t>
        </is>
      </c>
      <c r="B3" s="27">
        <f>'Monthly Totals'!B5+'Monthly Totals'!B6+'Monthly Totals'!B7</f>
        <v/>
      </c>
    </row>
    <row r="4">
      <c r="A4" s="17" t="inlineStr">
        <is>
          <t>Q3</t>
        </is>
      </c>
      <c r="B4" s="27">
        <f>'Monthly Totals'!B8+'Monthly Totals'!B9+'Monthly Totals'!B10</f>
        <v/>
      </c>
    </row>
    <row r="5">
      <c r="A5" s="17" t="inlineStr">
        <is>
          <t>Q4</t>
        </is>
      </c>
      <c r="B5" s="27">
        <f>'Monthly Totals'!B11+'Monthly Totals'!B12+'Monthly Totals'!B13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Category</t>
        </is>
      </c>
      <c r="B1" s="20" t="inlineStr">
        <is>
          <t>Total ($)</t>
        </is>
      </c>
      <c r="C1" s="20" t="inlineStr">
        <is>
          <t>Tax-Deductible?</t>
        </is>
      </c>
      <c r="D1" s="20" t="inlineStr">
        <is>
          <t>Notes</t>
        </is>
      </c>
    </row>
    <row r="2">
      <c r="A2" s="17" t="inlineStr">
        <is>
          <t>Materials</t>
        </is>
      </c>
      <c r="B2" s="27">
        <f>Summary!B2</f>
        <v/>
      </c>
      <c r="C2" s="17" t="inlineStr">
        <is>
          <t>Yes</t>
        </is>
      </c>
      <c r="D2" s="2" t="inlineStr"/>
    </row>
    <row r="3">
      <c r="A3" s="17" t="inlineStr">
        <is>
          <t>Tools</t>
        </is>
      </c>
      <c r="B3" s="27">
        <f>Summary!B3</f>
        <v/>
      </c>
      <c r="C3" s="17" t="inlineStr">
        <is>
          <t>Yes</t>
        </is>
      </c>
      <c r="D3" s="2" t="inlineStr"/>
    </row>
    <row r="4">
      <c r="A4" s="17" t="inlineStr">
        <is>
          <t>Gas / Fuel</t>
        </is>
      </c>
      <c r="B4" s="27">
        <f>Summary!B4</f>
        <v/>
      </c>
      <c r="C4" s="17" t="inlineStr">
        <is>
          <t>Yes</t>
        </is>
      </c>
      <c r="D4" s="2" t="inlineStr"/>
    </row>
    <row r="5">
      <c r="A5" s="17" t="inlineStr">
        <is>
          <t>Tolls</t>
        </is>
      </c>
      <c r="B5" s="27">
        <f>Summary!B5</f>
        <v/>
      </c>
      <c r="C5" s="17" t="inlineStr">
        <is>
          <t>Yes</t>
        </is>
      </c>
      <c r="D5" s="2" t="inlineStr"/>
    </row>
    <row r="6">
      <c r="A6" s="17" t="inlineStr">
        <is>
          <t>Meals</t>
        </is>
      </c>
      <c r="B6" s="27">
        <f>Summary!B6</f>
        <v/>
      </c>
      <c r="C6" s="17" t="inlineStr">
        <is>
          <t>Yes</t>
        </is>
      </c>
      <c r="D6" s="2" t="inlineStr"/>
    </row>
    <row r="7">
      <c r="A7" s="17" t="inlineStr">
        <is>
          <t>Job Supplies</t>
        </is>
      </c>
      <c r="B7" s="27">
        <f>Summary!B7</f>
        <v/>
      </c>
      <c r="C7" s="17" t="inlineStr">
        <is>
          <t>Yes</t>
        </is>
      </c>
      <c r="D7" s="2" t="inlineStr"/>
    </row>
    <row r="8">
      <c r="A8" s="17" t="inlineStr">
        <is>
          <t>Subcontractor Payments</t>
        </is>
      </c>
      <c r="B8" s="27">
        <f>Summary!B8</f>
        <v/>
      </c>
      <c r="C8" s="17" t="inlineStr">
        <is>
          <t>Yes</t>
        </is>
      </c>
      <c r="D8" s="2" t="inlineStr"/>
    </row>
    <row r="9">
      <c r="A9" s="17" t="inlineStr">
        <is>
          <t>Rental Equipment</t>
        </is>
      </c>
      <c r="B9" s="27">
        <f>Summary!B9</f>
        <v/>
      </c>
      <c r="C9" s="17" t="inlineStr">
        <is>
          <t>Yes</t>
        </is>
      </c>
      <c r="D9" s="2" t="inlineStr"/>
    </row>
    <row r="10">
      <c r="A10" s="17" t="inlineStr">
        <is>
          <t>Marketing / Advertising</t>
        </is>
      </c>
      <c r="B10" s="27">
        <f>Summary!B10</f>
        <v/>
      </c>
      <c r="C10" s="17" t="inlineStr">
        <is>
          <t>Yes</t>
        </is>
      </c>
      <c r="D10" s="2" t="inlineStr"/>
    </row>
    <row r="11">
      <c r="A11" s="17" t="inlineStr">
        <is>
          <t>Advertisements</t>
        </is>
      </c>
      <c r="B11" s="27">
        <f>Summary!B11</f>
        <v/>
      </c>
      <c r="C11" s="17" t="inlineStr">
        <is>
          <t>Yes</t>
        </is>
      </c>
      <c r="D11" s="2" t="inlineStr"/>
    </row>
    <row r="12">
      <c r="A12" s="17" t="inlineStr">
        <is>
          <t>Website / Software</t>
        </is>
      </c>
      <c r="B12" s="27">
        <f>Summary!B12</f>
        <v/>
      </c>
      <c r="C12" s="17" t="inlineStr">
        <is>
          <t>Yes</t>
        </is>
      </c>
      <c r="D12" s="2" t="inlineStr"/>
    </row>
    <row r="13">
      <c r="A13" s="17" t="inlineStr">
        <is>
          <t>Insurance</t>
        </is>
      </c>
      <c r="B13" s="27">
        <f>Summary!B13</f>
        <v/>
      </c>
      <c r="C13" s="17" t="inlineStr">
        <is>
          <t>Yes</t>
        </is>
      </c>
      <c r="D13" s="2" t="inlineStr"/>
    </row>
    <row r="14">
      <c r="A14" s="17" t="inlineStr">
        <is>
          <t>Licenses / Fees</t>
        </is>
      </c>
      <c r="B14" s="27">
        <f>Summary!B14</f>
        <v/>
      </c>
      <c r="C14" s="17" t="inlineStr">
        <is>
          <t>Yes</t>
        </is>
      </c>
      <c r="D14" s="2" t="inlineStr"/>
    </row>
    <row r="15">
      <c r="A15" s="17" t="inlineStr">
        <is>
          <t>Miscellaneous</t>
        </is>
      </c>
      <c r="B15" s="27">
        <f>Summary!B15</f>
        <v/>
      </c>
      <c r="C15" s="17" t="inlineStr">
        <is>
          <t>Yes</t>
        </is>
      </c>
      <c r="D15" s="2" t="inlineStr"/>
    </row>
    <row r="16">
      <c r="A16" s="17" t="inlineStr">
        <is>
          <t>Equipment Repair</t>
        </is>
      </c>
      <c r="B16" s="27">
        <f>Summary!B16</f>
        <v/>
      </c>
      <c r="C16" s="17" t="inlineStr">
        <is>
          <t>Yes</t>
        </is>
      </c>
      <c r="D16" s="2" t="inlineStr"/>
    </row>
    <row r="17">
      <c r="A17" s="17" t="inlineStr">
        <is>
          <t>Extra 1</t>
        </is>
      </c>
      <c r="B17" s="27">
        <f>Summary!B17</f>
        <v/>
      </c>
      <c r="C17" s="17" t="inlineStr">
        <is>
          <t>Yes</t>
        </is>
      </c>
      <c r="D17" s="2" t="inlineStr"/>
    </row>
    <row r="18">
      <c r="A18" s="17" t="inlineStr">
        <is>
          <t>Extra 2</t>
        </is>
      </c>
      <c r="B18" s="27">
        <f>Summary!B18</f>
        <v/>
      </c>
      <c r="C18" s="17" t="inlineStr">
        <is>
          <t>Yes</t>
        </is>
      </c>
      <c r="D18" s="2" t="inlineStr"/>
    </row>
    <row r="19">
      <c r="A19" s="17" t="inlineStr">
        <is>
          <t>Extra 3</t>
        </is>
      </c>
      <c r="B19" s="27">
        <f>Summary!B19</f>
        <v/>
      </c>
      <c r="C19" s="17" t="inlineStr">
        <is>
          <t>Yes</t>
        </is>
      </c>
      <c r="D19" s="2" t="inlineStr"/>
    </row>
    <row r="20">
      <c r="A20" s="17" t="inlineStr">
        <is>
          <t>Extra 4</t>
        </is>
      </c>
      <c r="B20" s="27">
        <f>Summary!B20</f>
        <v/>
      </c>
      <c r="C20" s="17" t="inlineStr">
        <is>
          <t>Yes</t>
        </is>
      </c>
      <c r="D20" s="2" t="inlineStr"/>
    </row>
    <row r="21">
      <c r="A21" s="17" t="inlineStr">
        <is>
          <t>Extra 5</t>
        </is>
      </c>
      <c r="B21" s="27">
        <f>Summary!B21</f>
        <v/>
      </c>
      <c r="C21" s="17" t="inlineStr">
        <is>
          <t>Yes</t>
        </is>
      </c>
      <c r="D21" s="2" t="inlineStr"/>
    </row>
    <row r="22">
      <c r="A22" s="17" t="inlineStr">
        <is>
          <t>Extra 6</t>
        </is>
      </c>
      <c r="B22" s="27">
        <f>Summary!B22</f>
        <v/>
      </c>
      <c r="C22" s="17" t="inlineStr">
        <is>
          <t>Yes</t>
        </is>
      </c>
      <c r="D22" s="2" t="inlineStr"/>
    </row>
    <row r="23"/>
    <row r="24">
      <c r="A24" s="23" t="inlineStr">
        <is>
          <t>Total Deductible</t>
        </is>
      </c>
      <c r="B24" s="22">
        <f>SUM(B2:B22)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Date</t>
        </is>
      </c>
      <c r="B1" s="20" t="inlineStr">
        <is>
          <t>Job/Client</t>
        </is>
      </c>
      <c r="C1" s="20" t="inlineStr">
        <is>
          <t>Material</t>
        </is>
      </c>
      <c r="D1" s="20" t="inlineStr">
        <is>
          <t>Amount ($)</t>
        </is>
      </c>
      <c r="E1" s="20" t="inlineStr">
        <is>
          <t>Tax Rate</t>
        </is>
      </c>
      <c r="F1" s="20" t="inlineStr">
        <is>
          <t>Sales Tax Owed</t>
        </is>
      </c>
    </row>
    <row r="2">
      <c r="A2" s="2" t="n"/>
      <c r="B2" s="2" t="n"/>
      <c r="C2" s="2" t="n"/>
      <c r="D2" s="2" t="n"/>
      <c r="E2" s="2" t="n"/>
      <c r="F2" s="17">
        <f>D2*E2</f>
        <v/>
      </c>
      <c r="H2" s="21" t="inlineStr">
        <is>
          <t>Total Sales Tax:</t>
        </is>
      </c>
      <c r="I2" s="22">
        <f>SUM(F2:F101)</f>
        <v/>
      </c>
    </row>
    <row r="3">
      <c r="A3" s="2" t="n"/>
      <c r="B3" s="2" t="n"/>
      <c r="C3" s="2" t="n"/>
      <c r="D3" s="2" t="n"/>
      <c r="E3" s="2" t="n"/>
      <c r="F3" s="17">
        <f>D3*E3</f>
        <v/>
      </c>
    </row>
    <row r="4">
      <c r="A4" s="2" t="n"/>
      <c r="B4" s="2" t="n"/>
      <c r="C4" s="2" t="n"/>
      <c r="D4" s="2" t="n"/>
      <c r="E4" s="2" t="n"/>
      <c r="F4" s="17">
        <f>D4*E4</f>
        <v/>
      </c>
    </row>
    <row r="5">
      <c r="A5" s="2" t="n"/>
      <c r="B5" s="2" t="n"/>
      <c r="C5" s="2" t="n"/>
      <c r="D5" s="2" t="n"/>
      <c r="E5" s="2" t="n"/>
      <c r="F5" s="17">
        <f>D5*E5</f>
        <v/>
      </c>
    </row>
    <row r="6">
      <c r="A6" s="2" t="n"/>
      <c r="B6" s="2" t="n"/>
      <c r="C6" s="2" t="n"/>
      <c r="D6" s="2" t="n"/>
      <c r="E6" s="2" t="n"/>
      <c r="F6" s="17">
        <f>D6*E6</f>
        <v/>
      </c>
    </row>
    <row r="7">
      <c r="A7" s="2" t="n"/>
      <c r="B7" s="2" t="n"/>
      <c r="C7" s="2" t="n"/>
      <c r="D7" s="2" t="n"/>
      <c r="E7" s="2" t="n"/>
      <c r="F7" s="17">
        <f>D7*E7</f>
        <v/>
      </c>
    </row>
    <row r="8">
      <c r="A8" s="2" t="n"/>
      <c r="B8" s="2" t="n"/>
      <c r="C8" s="2" t="n"/>
      <c r="D8" s="2" t="n"/>
      <c r="E8" s="2" t="n"/>
      <c r="F8" s="17">
        <f>D8*E8</f>
        <v/>
      </c>
    </row>
    <row r="9">
      <c r="A9" s="2" t="n"/>
      <c r="B9" s="2" t="n"/>
      <c r="C9" s="2" t="n"/>
      <c r="D9" s="2" t="n"/>
      <c r="E9" s="2" t="n"/>
      <c r="F9" s="17">
        <f>D9*E9</f>
        <v/>
      </c>
    </row>
    <row r="10">
      <c r="A10" s="2" t="n"/>
      <c r="B10" s="2" t="n"/>
      <c r="C10" s="2" t="n"/>
      <c r="D10" s="2" t="n"/>
      <c r="E10" s="2" t="n"/>
      <c r="F10" s="17">
        <f>D10*E10</f>
        <v/>
      </c>
    </row>
    <row r="11">
      <c r="A11" s="2" t="n"/>
      <c r="B11" s="2" t="n"/>
      <c r="C11" s="2" t="n"/>
      <c r="D11" s="2" t="n"/>
      <c r="E11" s="2" t="n"/>
      <c r="F11" s="17">
        <f>D11*E11</f>
        <v/>
      </c>
    </row>
    <row r="12">
      <c r="A12" s="2" t="n"/>
      <c r="B12" s="2" t="n"/>
      <c r="C12" s="2" t="n"/>
      <c r="D12" s="2" t="n"/>
      <c r="E12" s="2" t="n"/>
      <c r="F12" s="17">
        <f>D12*E12</f>
        <v/>
      </c>
    </row>
    <row r="13">
      <c r="A13" s="2" t="n"/>
      <c r="B13" s="2" t="n"/>
      <c r="C13" s="2" t="n"/>
      <c r="D13" s="2" t="n"/>
      <c r="E13" s="2" t="n"/>
      <c r="F13" s="17">
        <f>D13*E13</f>
        <v/>
      </c>
    </row>
    <row r="14">
      <c r="A14" s="2" t="n"/>
      <c r="B14" s="2" t="n"/>
      <c r="C14" s="2" t="n"/>
      <c r="D14" s="2" t="n"/>
      <c r="E14" s="2" t="n"/>
      <c r="F14" s="17">
        <f>D14*E14</f>
        <v/>
      </c>
    </row>
    <row r="15">
      <c r="A15" s="2" t="n"/>
      <c r="B15" s="2" t="n"/>
      <c r="C15" s="2" t="n"/>
      <c r="D15" s="2" t="n"/>
      <c r="E15" s="2" t="n"/>
      <c r="F15" s="17">
        <f>D15*E15</f>
        <v/>
      </c>
    </row>
    <row r="16">
      <c r="A16" s="2" t="n"/>
      <c r="B16" s="2" t="n"/>
      <c r="C16" s="2" t="n"/>
      <c r="D16" s="2" t="n"/>
      <c r="E16" s="2" t="n"/>
      <c r="F16" s="17">
        <f>D16*E16</f>
        <v/>
      </c>
    </row>
    <row r="17">
      <c r="A17" s="2" t="n"/>
      <c r="B17" s="2" t="n"/>
      <c r="C17" s="2" t="n"/>
      <c r="D17" s="2" t="n"/>
      <c r="E17" s="2" t="n"/>
      <c r="F17" s="17">
        <f>D17*E17</f>
        <v/>
      </c>
    </row>
    <row r="18">
      <c r="A18" s="2" t="n"/>
      <c r="B18" s="2" t="n"/>
      <c r="C18" s="2" t="n"/>
      <c r="D18" s="2" t="n"/>
      <c r="E18" s="2" t="n"/>
      <c r="F18" s="17">
        <f>D18*E18</f>
        <v/>
      </c>
    </row>
    <row r="19">
      <c r="A19" s="2" t="n"/>
      <c r="B19" s="2" t="n"/>
      <c r="C19" s="2" t="n"/>
      <c r="D19" s="2" t="n"/>
      <c r="E19" s="2" t="n"/>
      <c r="F19" s="17">
        <f>D19*E19</f>
        <v/>
      </c>
    </row>
    <row r="20">
      <c r="A20" s="2" t="n"/>
      <c r="B20" s="2" t="n"/>
      <c r="C20" s="2" t="n"/>
      <c r="D20" s="2" t="n"/>
      <c r="E20" s="2" t="n"/>
      <c r="F20" s="17">
        <f>D20*E20</f>
        <v/>
      </c>
    </row>
    <row r="21">
      <c r="A21" s="2" t="n"/>
      <c r="B21" s="2" t="n"/>
      <c r="C21" s="2" t="n"/>
      <c r="D21" s="2" t="n"/>
      <c r="E21" s="2" t="n"/>
      <c r="F21" s="17">
        <f>D21*E21</f>
        <v/>
      </c>
    </row>
    <row r="22">
      <c r="A22" s="2" t="n"/>
      <c r="B22" s="2" t="n"/>
      <c r="C22" s="2" t="n"/>
      <c r="D22" s="2" t="n"/>
      <c r="E22" s="2" t="n"/>
      <c r="F22" s="17">
        <f>D22*E22</f>
        <v/>
      </c>
    </row>
    <row r="23">
      <c r="A23" s="2" t="n"/>
      <c r="B23" s="2" t="n"/>
      <c r="C23" s="2" t="n"/>
      <c r="D23" s="2" t="n"/>
      <c r="E23" s="2" t="n"/>
      <c r="F23" s="17">
        <f>D23*E23</f>
        <v/>
      </c>
    </row>
    <row r="24">
      <c r="A24" s="2" t="n"/>
      <c r="B24" s="2" t="n"/>
      <c r="C24" s="2" t="n"/>
      <c r="D24" s="2" t="n"/>
      <c r="E24" s="2" t="n"/>
      <c r="F24" s="17">
        <f>D24*E24</f>
        <v/>
      </c>
    </row>
    <row r="25">
      <c r="A25" s="2" t="n"/>
      <c r="B25" s="2" t="n"/>
      <c r="C25" s="2" t="n"/>
      <c r="D25" s="2" t="n"/>
      <c r="E25" s="2" t="n"/>
      <c r="F25" s="17">
        <f>D25*E25</f>
        <v/>
      </c>
    </row>
    <row r="26">
      <c r="A26" s="2" t="n"/>
      <c r="B26" s="2" t="n"/>
      <c r="C26" s="2" t="n"/>
      <c r="D26" s="2" t="n"/>
      <c r="E26" s="2" t="n"/>
      <c r="F26" s="17">
        <f>D26*E26</f>
        <v/>
      </c>
    </row>
    <row r="27">
      <c r="A27" s="2" t="n"/>
      <c r="B27" s="2" t="n"/>
      <c r="C27" s="2" t="n"/>
      <c r="D27" s="2" t="n"/>
      <c r="E27" s="2" t="n"/>
      <c r="F27" s="17">
        <f>D27*E27</f>
        <v/>
      </c>
    </row>
    <row r="28">
      <c r="A28" s="2" t="n"/>
      <c r="B28" s="2" t="n"/>
      <c r="C28" s="2" t="n"/>
      <c r="D28" s="2" t="n"/>
      <c r="E28" s="2" t="n"/>
      <c r="F28" s="17">
        <f>D28*E28</f>
        <v/>
      </c>
    </row>
    <row r="29">
      <c r="A29" s="2" t="n"/>
      <c r="B29" s="2" t="n"/>
      <c r="C29" s="2" t="n"/>
      <c r="D29" s="2" t="n"/>
      <c r="E29" s="2" t="n"/>
      <c r="F29" s="17">
        <f>D29*E29</f>
        <v/>
      </c>
    </row>
    <row r="30">
      <c r="A30" s="2" t="n"/>
      <c r="B30" s="2" t="n"/>
      <c r="C30" s="2" t="n"/>
      <c r="D30" s="2" t="n"/>
      <c r="E30" s="2" t="n"/>
      <c r="F30" s="17">
        <f>D30*E30</f>
        <v/>
      </c>
    </row>
    <row r="31">
      <c r="A31" s="2" t="n"/>
      <c r="B31" s="2" t="n"/>
      <c r="C31" s="2" t="n"/>
      <c r="D31" s="2" t="n"/>
      <c r="E31" s="2" t="n"/>
      <c r="F31" s="17">
        <f>D31*E31</f>
        <v/>
      </c>
    </row>
    <row r="32">
      <c r="A32" s="2" t="n"/>
      <c r="B32" s="2" t="n"/>
      <c r="C32" s="2" t="n"/>
      <c r="D32" s="2" t="n"/>
      <c r="E32" s="2" t="n"/>
      <c r="F32" s="17">
        <f>D32*E32</f>
        <v/>
      </c>
    </row>
    <row r="33">
      <c r="A33" s="2" t="n"/>
      <c r="B33" s="2" t="n"/>
      <c r="C33" s="2" t="n"/>
      <c r="D33" s="2" t="n"/>
      <c r="E33" s="2" t="n"/>
      <c r="F33" s="17">
        <f>D33*E33</f>
        <v/>
      </c>
    </row>
    <row r="34">
      <c r="A34" s="2" t="n"/>
      <c r="B34" s="2" t="n"/>
      <c r="C34" s="2" t="n"/>
      <c r="D34" s="2" t="n"/>
      <c r="E34" s="2" t="n"/>
      <c r="F34" s="17">
        <f>D34*E34</f>
        <v/>
      </c>
    </row>
    <row r="35">
      <c r="A35" s="2" t="n"/>
      <c r="B35" s="2" t="n"/>
      <c r="C35" s="2" t="n"/>
      <c r="D35" s="2" t="n"/>
      <c r="E35" s="2" t="n"/>
      <c r="F35" s="17">
        <f>D35*E35</f>
        <v/>
      </c>
    </row>
    <row r="36">
      <c r="A36" s="2" t="n"/>
      <c r="B36" s="2" t="n"/>
      <c r="C36" s="2" t="n"/>
      <c r="D36" s="2" t="n"/>
      <c r="E36" s="2" t="n"/>
      <c r="F36" s="17">
        <f>D36*E36</f>
        <v/>
      </c>
    </row>
    <row r="37">
      <c r="A37" s="2" t="n"/>
      <c r="B37" s="2" t="n"/>
      <c r="C37" s="2" t="n"/>
      <c r="D37" s="2" t="n"/>
      <c r="E37" s="2" t="n"/>
      <c r="F37" s="17">
        <f>D37*E37</f>
        <v/>
      </c>
    </row>
    <row r="38">
      <c r="A38" s="2" t="n"/>
      <c r="B38" s="2" t="n"/>
      <c r="C38" s="2" t="n"/>
      <c r="D38" s="2" t="n"/>
      <c r="E38" s="2" t="n"/>
      <c r="F38" s="17">
        <f>D38*E38</f>
        <v/>
      </c>
    </row>
    <row r="39">
      <c r="A39" s="2" t="n"/>
      <c r="B39" s="2" t="n"/>
      <c r="C39" s="2" t="n"/>
      <c r="D39" s="2" t="n"/>
      <c r="E39" s="2" t="n"/>
      <c r="F39" s="17">
        <f>D39*E39</f>
        <v/>
      </c>
    </row>
    <row r="40">
      <c r="A40" s="2" t="n"/>
      <c r="B40" s="2" t="n"/>
      <c r="C40" s="2" t="n"/>
      <c r="D40" s="2" t="n"/>
      <c r="E40" s="2" t="n"/>
      <c r="F40" s="17">
        <f>D40*E40</f>
        <v/>
      </c>
    </row>
    <row r="41">
      <c r="A41" s="2" t="n"/>
      <c r="B41" s="2" t="n"/>
      <c r="C41" s="2" t="n"/>
      <c r="D41" s="2" t="n"/>
      <c r="E41" s="2" t="n"/>
      <c r="F41" s="17">
        <f>D41*E41</f>
        <v/>
      </c>
    </row>
    <row r="42">
      <c r="A42" s="2" t="n"/>
      <c r="B42" s="2" t="n"/>
      <c r="C42" s="2" t="n"/>
      <c r="D42" s="2" t="n"/>
      <c r="E42" s="2" t="n"/>
      <c r="F42" s="17">
        <f>D42*E42</f>
        <v/>
      </c>
    </row>
    <row r="43">
      <c r="A43" s="2" t="n"/>
      <c r="B43" s="2" t="n"/>
      <c r="C43" s="2" t="n"/>
      <c r="D43" s="2" t="n"/>
      <c r="E43" s="2" t="n"/>
      <c r="F43" s="17">
        <f>D43*E43</f>
        <v/>
      </c>
    </row>
    <row r="44">
      <c r="A44" s="2" t="n"/>
      <c r="B44" s="2" t="n"/>
      <c r="C44" s="2" t="n"/>
      <c r="D44" s="2" t="n"/>
      <c r="E44" s="2" t="n"/>
      <c r="F44" s="17">
        <f>D44*E44</f>
        <v/>
      </c>
    </row>
    <row r="45">
      <c r="A45" s="2" t="n"/>
      <c r="B45" s="2" t="n"/>
      <c r="C45" s="2" t="n"/>
      <c r="D45" s="2" t="n"/>
      <c r="E45" s="2" t="n"/>
      <c r="F45" s="17">
        <f>D45*E45</f>
        <v/>
      </c>
    </row>
    <row r="46">
      <c r="A46" s="2" t="n"/>
      <c r="B46" s="2" t="n"/>
      <c r="C46" s="2" t="n"/>
      <c r="D46" s="2" t="n"/>
      <c r="E46" s="2" t="n"/>
      <c r="F46" s="17">
        <f>D46*E46</f>
        <v/>
      </c>
    </row>
    <row r="47">
      <c r="A47" s="2" t="n"/>
      <c r="B47" s="2" t="n"/>
      <c r="C47" s="2" t="n"/>
      <c r="D47" s="2" t="n"/>
      <c r="E47" s="2" t="n"/>
      <c r="F47" s="17">
        <f>D47*E47</f>
        <v/>
      </c>
    </row>
    <row r="48">
      <c r="A48" s="2" t="n"/>
      <c r="B48" s="2" t="n"/>
      <c r="C48" s="2" t="n"/>
      <c r="D48" s="2" t="n"/>
      <c r="E48" s="2" t="n"/>
      <c r="F48" s="17">
        <f>D48*E48</f>
        <v/>
      </c>
    </row>
    <row r="49">
      <c r="A49" s="2" t="n"/>
      <c r="B49" s="2" t="n"/>
      <c r="C49" s="2" t="n"/>
      <c r="D49" s="2" t="n"/>
      <c r="E49" s="2" t="n"/>
      <c r="F49" s="17">
        <f>D49*E49</f>
        <v/>
      </c>
    </row>
    <row r="50">
      <c r="A50" s="2" t="n"/>
      <c r="B50" s="2" t="n"/>
      <c r="C50" s="2" t="n"/>
      <c r="D50" s="2" t="n"/>
      <c r="E50" s="2" t="n"/>
      <c r="F50" s="17">
        <f>D50*E50</f>
        <v/>
      </c>
    </row>
    <row r="51">
      <c r="A51" s="2" t="n"/>
      <c r="B51" s="2" t="n"/>
      <c r="C51" s="2" t="n"/>
      <c r="D51" s="2" t="n"/>
      <c r="E51" s="2" t="n"/>
      <c r="F51" s="17">
        <f>D51*E51</f>
        <v/>
      </c>
    </row>
    <row r="52">
      <c r="A52" s="2" t="n"/>
      <c r="B52" s="2" t="n"/>
      <c r="C52" s="2" t="n"/>
      <c r="D52" s="2" t="n"/>
      <c r="E52" s="2" t="n"/>
      <c r="F52" s="17">
        <f>D52*E52</f>
        <v/>
      </c>
    </row>
    <row r="53">
      <c r="A53" s="2" t="n"/>
      <c r="B53" s="2" t="n"/>
      <c r="C53" s="2" t="n"/>
      <c r="D53" s="2" t="n"/>
      <c r="E53" s="2" t="n"/>
      <c r="F53" s="17">
        <f>D53*E53</f>
        <v/>
      </c>
    </row>
    <row r="54">
      <c r="A54" s="2" t="n"/>
      <c r="B54" s="2" t="n"/>
      <c r="C54" s="2" t="n"/>
      <c r="D54" s="2" t="n"/>
      <c r="E54" s="2" t="n"/>
      <c r="F54" s="17">
        <f>D54*E54</f>
        <v/>
      </c>
    </row>
    <row r="55">
      <c r="A55" s="2" t="n"/>
      <c r="B55" s="2" t="n"/>
      <c r="C55" s="2" t="n"/>
      <c r="D55" s="2" t="n"/>
      <c r="E55" s="2" t="n"/>
      <c r="F55" s="17">
        <f>D55*E55</f>
        <v/>
      </c>
    </row>
    <row r="56">
      <c r="A56" s="2" t="n"/>
      <c r="B56" s="2" t="n"/>
      <c r="C56" s="2" t="n"/>
      <c r="D56" s="2" t="n"/>
      <c r="E56" s="2" t="n"/>
      <c r="F56" s="17">
        <f>D56*E56</f>
        <v/>
      </c>
    </row>
    <row r="57">
      <c r="A57" s="2" t="n"/>
      <c r="B57" s="2" t="n"/>
      <c r="C57" s="2" t="n"/>
      <c r="D57" s="2" t="n"/>
      <c r="E57" s="2" t="n"/>
      <c r="F57" s="17">
        <f>D57*E57</f>
        <v/>
      </c>
    </row>
    <row r="58">
      <c r="A58" s="2" t="n"/>
      <c r="B58" s="2" t="n"/>
      <c r="C58" s="2" t="n"/>
      <c r="D58" s="2" t="n"/>
      <c r="E58" s="2" t="n"/>
      <c r="F58" s="17">
        <f>D58*E58</f>
        <v/>
      </c>
    </row>
    <row r="59">
      <c r="A59" s="2" t="n"/>
      <c r="B59" s="2" t="n"/>
      <c r="C59" s="2" t="n"/>
      <c r="D59" s="2" t="n"/>
      <c r="E59" s="2" t="n"/>
      <c r="F59" s="17">
        <f>D59*E59</f>
        <v/>
      </c>
    </row>
    <row r="60">
      <c r="A60" s="2" t="n"/>
      <c r="B60" s="2" t="n"/>
      <c r="C60" s="2" t="n"/>
      <c r="D60" s="2" t="n"/>
      <c r="E60" s="2" t="n"/>
      <c r="F60" s="17">
        <f>D60*E60</f>
        <v/>
      </c>
    </row>
    <row r="61">
      <c r="A61" s="2" t="n"/>
      <c r="B61" s="2" t="n"/>
      <c r="C61" s="2" t="n"/>
      <c r="D61" s="2" t="n"/>
      <c r="E61" s="2" t="n"/>
      <c r="F61" s="17">
        <f>D61*E61</f>
        <v/>
      </c>
    </row>
    <row r="62">
      <c r="A62" s="2" t="n"/>
      <c r="B62" s="2" t="n"/>
      <c r="C62" s="2" t="n"/>
      <c r="D62" s="2" t="n"/>
      <c r="E62" s="2" t="n"/>
      <c r="F62" s="17">
        <f>D62*E62</f>
        <v/>
      </c>
    </row>
    <row r="63">
      <c r="A63" s="2" t="n"/>
      <c r="B63" s="2" t="n"/>
      <c r="C63" s="2" t="n"/>
      <c r="D63" s="2" t="n"/>
      <c r="E63" s="2" t="n"/>
      <c r="F63" s="17">
        <f>D63*E63</f>
        <v/>
      </c>
    </row>
    <row r="64">
      <c r="A64" s="2" t="n"/>
      <c r="B64" s="2" t="n"/>
      <c r="C64" s="2" t="n"/>
      <c r="D64" s="2" t="n"/>
      <c r="E64" s="2" t="n"/>
      <c r="F64" s="17">
        <f>D64*E64</f>
        <v/>
      </c>
    </row>
    <row r="65">
      <c r="A65" s="2" t="n"/>
      <c r="B65" s="2" t="n"/>
      <c r="C65" s="2" t="n"/>
      <c r="D65" s="2" t="n"/>
      <c r="E65" s="2" t="n"/>
      <c r="F65" s="17">
        <f>D65*E65</f>
        <v/>
      </c>
    </row>
    <row r="66">
      <c r="A66" s="2" t="n"/>
      <c r="B66" s="2" t="n"/>
      <c r="C66" s="2" t="n"/>
      <c r="D66" s="2" t="n"/>
      <c r="E66" s="2" t="n"/>
      <c r="F66" s="17">
        <f>D66*E66</f>
        <v/>
      </c>
    </row>
    <row r="67">
      <c r="A67" s="2" t="n"/>
      <c r="B67" s="2" t="n"/>
      <c r="C67" s="2" t="n"/>
      <c r="D67" s="2" t="n"/>
      <c r="E67" s="2" t="n"/>
      <c r="F67" s="17">
        <f>D67*E67</f>
        <v/>
      </c>
    </row>
    <row r="68">
      <c r="A68" s="2" t="n"/>
      <c r="B68" s="2" t="n"/>
      <c r="C68" s="2" t="n"/>
      <c r="D68" s="2" t="n"/>
      <c r="E68" s="2" t="n"/>
      <c r="F68" s="17">
        <f>D68*E68</f>
        <v/>
      </c>
    </row>
    <row r="69">
      <c r="A69" s="2" t="n"/>
      <c r="B69" s="2" t="n"/>
      <c r="C69" s="2" t="n"/>
      <c r="D69" s="2" t="n"/>
      <c r="E69" s="2" t="n"/>
      <c r="F69" s="17">
        <f>D69*E69</f>
        <v/>
      </c>
    </row>
    <row r="70">
      <c r="A70" s="2" t="n"/>
      <c r="B70" s="2" t="n"/>
      <c r="C70" s="2" t="n"/>
      <c r="D70" s="2" t="n"/>
      <c r="E70" s="2" t="n"/>
      <c r="F70" s="17">
        <f>D70*E70</f>
        <v/>
      </c>
    </row>
    <row r="71">
      <c r="A71" s="2" t="n"/>
      <c r="B71" s="2" t="n"/>
      <c r="C71" s="2" t="n"/>
      <c r="D71" s="2" t="n"/>
      <c r="E71" s="2" t="n"/>
      <c r="F71" s="17">
        <f>D71*E71</f>
        <v/>
      </c>
    </row>
    <row r="72">
      <c r="A72" s="2" t="n"/>
      <c r="B72" s="2" t="n"/>
      <c r="C72" s="2" t="n"/>
      <c r="D72" s="2" t="n"/>
      <c r="E72" s="2" t="n"/>
      <c r="F72" s="17">
        <f>D72*E72</f>
        <v/>
      </c>
    </row>
    <row r="73">
      <c r="A73" s="2" t="n"/>
      <c r="B73" s="2" t="n"/>
      <c r="C73" s="2" t="n"/>
      <c r="D73" s="2" t="n"/>
      <c r="E73" s="2" t="n"/>
      <c r="F73" s="17">
        <f>D73*E73</f>
        <v/>
      </c>
    </row>
    <row r="74">
      <c r="A74" s="2" t="n"/>
      <c r="B74" s="2" t="n"/>
      <c r="C74" s="2" t="n"/>
      <c r="D74" s="2" t="n"/>
      <c r="E74" s="2" t="n"/>
      <c r="F74" s="17">
        <f>D74*E74</f>
        <v/>
      </c>
    </row>
    <row r="75">
      <c r="A75" s="2" t="n"/>
      <c r="B75" s="2" t="n"/>
      <c r="C75" s="2" t="n"/>
      <c r="D75" s="2" t="n"/>
      <c r="E75" s="2" t="n"/>
      <c r="F75" s="17">
        <f>D75*E75</f>
        <v/>
      </c>
    </row>
    <row r="76">
      <c r="A76" s="2" t="n"/>
      <c r="B76" s="2" t="n"/>
      <c r="C76" s="2" t="n"/>
      <c r="D76" s="2" t="n"/>
      <c r="E76" s="2" t="n"/>
      <c r="F76" s="17">
        <f>D76*E76</f>
        <v/>
      </c>
    </row>
    <row r="77">
      <c r="A77" s="2" t="n"/>
      <c r="B77" s="2" t="n"/>
      <c r="C77" s="2" t="n"/>
      <c r="D77" s="2" t="n"/>
      <c r="E77" s="2" t="n"/>
      <c r="F77" s="17">
        <f>D77*E77</f>
        <v/>
      </c>
    </row>
    <row r="78">
      <c r="A78" s="2" t="n"/>
      <c r="B78" s="2" t="n"/>
      <c r="C78" s="2" t="n"/>
      <c r="D78" s="2" t="n"/>
      <c r="E78" s="2" t="n"/>
      <c r="F78" s="17">
        <f>D78*E78</f>
        <v/>
      </c>
    </row>
    <row r="79">
      <c r="A79" s="2" t="n"/>
      <c r="B79" s="2" t="n"/>
      <c r="C79" s="2" t="n"/>
      <c r="D79" s="2" t="n"/>
      <c r="E79" s="2" t="n"/>
      <c r="F79" s="17">
        <f>D79*E79</f>
        <v/>
      </c>
    </row>
    <row r="80">
      <c r="A80" s="2" t="n"/>
      <c r="B80" s="2" t="n"/>
      <c r="C80" s="2" t="n"/>
      <c r="D80" s="2" t="n"/>
      <c r="E80" s="2" t="n"/>
      <c r="F80" s="17">
        <f>D80*E80</f>
        <v/>
      </c>
    </row>
    <row r="81">
      <c r="A81" s="2" t="n"/>
      <c r="B81" s="2" t="n"/>
      <c r="C81" s="2" t="n"/>
      <c r="D81" s="2" t="n"/>
      <c r="E81" s="2" t="n"/>
      <c r="F81" s="17">
        <f>D81*E81</f>
        <v/>
      </c>
    </row>
    <row r="82">
      <c r="A82" s="2" t="n"/>
      <c r="B82" s="2" t="n"/>
      <c r="C82" s="2" t="n"/>
      <c r="D82" s="2" t="n"/>
      <c r="E82" s="2" t="n"/>
      <c r="F82" s="17">
        <f>D82*E82</f>
        <v/>
      </c>
    </row>
    <row r="83">
      <c r="A83" s="2" t="n"/>
      <c r="B83" s="2" t="n"/>
      <c r="C83" s="2" t="n"/>
      <c r="D83" s="2" t="n"/>
      <c r="E83" s="2" t="n"/>
      <c r="F83" s="17">
        <f>D83*E83</f>
        <v/>
      </c>
    </row>
    <row r="84">
      <c r="A84" s="2" t="n"/>
      <c r="B84" s="2" t="n"/>
      <c r="C84" s="2" t="n"/>
      <c r="D84" s="2" t="n"/>
      <c r="E84" s="2" t="n"/>
      <c r="F84" s="17">
        <f>D84*E84</f>
        <v/>
      </c>
    </row>
    <row r="85">
      <c r="A85" s="2" t="n"/>
      <c r="B85" s="2" t="n"/>
      <c r="C85" s="2" t="n"/>
      <c r="D85" s="2" t="n"/>
      <c r="E85" s="2" t="n"/>
      <c r="F85" s="17">
        <f>D85*E85</f>
        <v/>
      </c>
    </row>
    <row r="86">
      <c r="A86" s="2" t="n"/>
      <c r="B86" s="2" t="n"/>
      <c r="C86" s="2" t="n"/>
      <c r="D86" s="2" t="n"/>
      <c r="E86" s="2" t="n"/>
      <c r="F86" s="17">
        <f>D86*E86</f>
        <v/>
      </c>
    </row>
    <row r="87">
      <c r="A87" s="2" t="n"/>
      <c r="B87" s="2" t="n"/>
      <c r="C87" s="2" t="n"/>
      <c r="D87" s="2" t="n"/>
      <c r="E87" s="2" t="n"/>
      <c r="F87" s="17">
        <f>D87*E87</f>
        <v/>
      </c>
    </row>
    <row r="88">
      <c r="A88" s="2" t="n"/>
      <c r="B88" s="2" t="n"/>
      <c r="C88" s="2" t="n"/>
      <c r="D88" s="2" t="n"/>
      <c r="E88" s="2" t="n"/>
      <c r="F88" s="17">
        <f>D88*E88</f>
        <v/>
      </c>
    </row>
    <row r="89">
      <c r="A89" s="2" t="n"/>
      <c r="B89" s="2" t="n"/>
      <c r="C89" s="2" t="n"/>
      <c r="D89" s="2" t="n"/>
      <c r="E89" s="2" t="n"/>
      <c r="F89" s="17">
        <f>D89*E89</f>
        <v/>
      </c>
    </row>
    <row r="90">
      <c r="A90" s="2" t="n"/>
      <c r="B90" s="2" t="n"/>
      <c r="C90" s="2" t="n"/>
      <c r="D90" s="2" t="n"/>
      <c r="E90" s="2" t="n"/>
      <c r="F90" s="17">
        <f>D90*E90</f>
        <v/>
      </c>
    </row>
    <row r="91">
      <c r="A91" s="2" t="n"/>
      <c r="B91" s="2" t="n"/>
      <c r="C91" s="2" t="n"/>
      <c r="D91" s="2" t="n"/>
      <c r="E91" s="2" t="n"/>
      <c r="F91" s="17">
        <f>D91*E91</f>
        <v/>
      </c>
    </row>
    <row r="92">
      <c r="A92" s="2" t="n"/>
      <c r="B92" s="2" t="n"/>
      <c r="C92" s="2" t="n"/>
      <c r="D92" s="2" t="n"/>
      <c r="E92" s="2" t="n"/>
      <c r="F92" s="17">
        <f>D92*E92</f>
        <v/>
      </c>
    </row>
    <row r="93">
      <c r="A93" s="2" t="n"/>
      <c r="B93" s="2" t="n"/>
      <c r="C93" s="2" t="n"/>
      <c r="D93" s="2" t="n"/>
      <c r="E93" s="2" t="n"/>
      <c r="F93" s="17">
        <f>D93*E93</f>
        <v/>
      </c>
    </row>
    <row r="94">
      <c r="A94" s="2" t="n"/>
      <c r="B94" s="2" t="n"/>
      <c r="C94" s="2" t="n"/>
      <c r="D94" s="2" t="n"/>
      <c r="E94" s="2" t="n"/>
      <c r="F94" s="17">
        <f>D94*E94</f>
        <v/>
      </c>
    </row>
    <row r="95">
      <c r="A95" s="2" t="n"/>
      <c r="B95" s="2" t="n"/>
      <c r="C95" s="2" t="n"/>
      <c r="D95" s="2" t="n"/>
      <c r="E95" s="2" t="n"/>
      <c r="F95" s="17">
        <f>D95*E95</f>
        <v/>
      </c>
    </row>
    <row r="96">
      <c r="A96" s="2" t="n"/>
      <c r="B96" s="2" t="n"/>
      <c r="C96" s="2" t="n"/>
      <c r="D96" s="2" t="n"/>
      <c r="E96" s="2" t="n"/>
      <c r="F96" s="17">
        <f>D96*E96</f>
        <v/>
      </c>
    </row>
    <row r="97">
      <c r="A97" s="2" t="n"/>
      <c r="B97" s="2" t="n"/>
      <c r="C97" s="2" t="n"/>
      <c r="D97" s="2" t="n"/>
      <c r="E97" s="2" t="n"/>
      <c r="F97" s="17">
        <f>D97*E97</f>
        <v/>
      </c>
    </row>
    <row r="98">
      <c r="A98" s="2" t="n"/>
      <c r="B98" s="2" t="n"/>
      <c r="C98" s="2" t="n"/>
      <c r="D98" s="2" t="n"/>
      <c r="E98" s="2" t="n"/>
      <c r="F98" s="17">
        <f>D98*E98</f>
        <v/>
      </c>
    </row>
    <row r="99">
      <c r="A99" s="2" t="n"/>
      <c r="B99" s="2" t="n"/>
      <c r="C99" s="2" t="n"/>
      <c r="D99" s="2" t="n"/>
      <c r="E99" s="2" t="n"/>
      <c r="F99" s="17">
        <f>D99*E99</f>
        <v/>
      </c>
    </row>
    <row r="100">
      <c r="A100" s="2" t="n"/>
      <c r="B100" s="2" t="n"/>
      <c r="C100" s="2" t="n"/>
      <c r="D100" s="2" t="n"/>
      <c r="E100" s="2" t="n"/>
      <c r="F100" s="17">
        <f>D100*E100</f>
        <v/>
      </c>
    </row>
    <row r="101">
      <c r="A101" s="2" t="n"/>
      <c r="B101" s="2" t="n"/>
      <c r="C101" s="2" t="n"/>
      <c r="D101" s="2" t="n"/>
      <c r="E101" s="2" t="n"/>
      <c r="F101" s="17">
        <f>D101*E101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Category</t>
        </is>
      </c>
      <c r="B1" s="20" t="inlineStr">
        <is>
          <t>Amount ($)</t>
        </is>
      </c>
    </row>
    <row r="2">
      <c r="A2" s="17" t="inlineStr">
        <is>
          <t>Mileage Deduction</t>
        </is>
      </c>
      <c r="B2" s="13" t="inlineStr"/>
    </row>
    <row r="3">
      <c r="A3" s="17" t="inlineStr">
        <is>
          <t>Gas</t>
        </is>
      </c>
      <c r="B3" s="13" t="inlineStr"/>
    </row>
    <row r="4">
      <c r="A4" s="17" t="inlineStr">
        <is>
          <t>Repairs</t>
        </is>
      </c>
      <c r="B4" s="13" t="inlineStr"/>
    </row>
    <row r="5">
      <c r="A5" s="17" t="inlineStr">
        <is>
          <t>Insurance</t>
        </is>
      </c>
      <c r="B5" s="13" t="inlineStr"/>
    </row>
    <row r="6">
      <c r="A6" s="17" t="inlineStr">
        <is>
          <t>Registration</t>
        </is>
      </c>
      <c r="B6" s="13" t="inlineStr"/>
    </row>
    <row r="7">
      <c r="A7" s="17" t="inlineStr">
        <is>
          <t>Parking</t>
        </is>
      </c>
      <c r="B7" s="13" t="inlineStr"/>
    </row>
    <row r="8">
      <c r="A8" s="17" t="inlineStr">
        <is>
          <t>Tolls</t>
        </is>
      </c>
      <c r="B8" s="13" t="inlineStr"/>
    </row>
    <row r="9"/>
    <row r="10">
      <c r="A10" s="23" t="inlineStr">
        <is>
          <t>Total Vehicle Deduction</t>
        </is>
      </c>
      <c r="B10" s="27">
        <f>SUM(B2:B8)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Taxable Income</t>
        </is>
      </c>
      <c r="B1" s="20" t="inlineStr">
        <is>
          <t>Bracket</t>
        </is>
      </c>
      <c r="C1" s="20" t="inlineStr">
        <is>
          <t>Estimated Fed Tax</t>
        </is>
      </c>
    </row>
    <row r="2">
      <c r="A2" s="17" t="inlineStr">
        <is>
          <t>Enter Income</t>
        </is>
      </c>
      <c r="B2" s="17">
        <f>IF(A2&lt;11000,"10%",IF(A2&lt;44725,"12%",IF(A2&lt;95375,"22%",IF(A2&lt;182100,"24%","32%+"))))</f>
        <v/>
      </c>
      <c r="C2" s="27">
        <f>A2*IF(B2="10%",0.10,IF(B2="12%",0.12,IF(B2="22%",0.22,IF(B2="24%",0.24,0.32))))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Description</t>
        </is>
      </c>
      <c r="B1" s="20" t="inlineStr">
        <is>
          <t>Amount ($)</t>
        </is>
      </c>
    </row>
    <row r="2">
      <c r="A2" s="17" t="inlineStr">
        <is>
          <t>Total Income (from P&amp;L)</t>
        </is>
      </c>
      <c r="B2" s="13" t="inlineStr"/>
    </row>
    <row r="3">
      <c r="A3" s="17" t="inlineStr">
        <is>
          <t>Total Expenses (from P&amp;L)</t>
        </is>
      </c>
      <c r="B3" s="13" t="inlineStr"/>
    </row>
    <row r="4">
      <c r="A4" s="17" t="inlineStr">
        <is>
          <t>Vehicle Deduction</t>
        </is>
      </c>
      <c r="B4" s="13" t="inlineStr"/>
    </row>
    <row r="5">
      <c r="A5" s="17" t="inlineStr">
        <is>
          <t>Home Office Deduction</t>
        </is>
      </c>
      <c r="B5" s="13" t="inlineStr"/>
    </row>
    <row r="6">
      <c r="A6" s="17" t="inlineStr">
        <is>
          <t>Other Adjustments</t>
        </is>
      </c>
      <c r="B6" s="13" t="inlineStr"/>
    </row>
    <row r="7"/>
    <row r="8">
      <c r="A8" s="23" t="inlineStr">
        <is>
          <t>Net Taxable Income</t>
        </is>
      </c>
      <c r="B8" s="27">
        <f>B2-B3-B4-B5-B6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Line</t>
        </is>
      </c>
      <c r="B1" s="15" t="inlineStr">
        <is>
          <t>Category</t>
        </is>
      </c>
      <c r="C1" s="15" t="inlineStr">
        <is>
          <t>Amount ($)</t>
        </is>
      </c>
      <c r="D1" s="15" t="inlineStr">
        <is>
          <t>Notes</t>
        </is>
      </c>
    </row>
    <row r="2">
      <c r="A2" s="17" t="n">
        <v>1</v>
      </c>
      <c r="B2" s="17" t="inlineStr">
        <is>
          <t>Gross Receipts</t>
        </is>
      </c>
      <c r="C2" s="13" t="inlineStr"/>
      <c r="D2" s="2" t="inlineStr"/>
    </row>
    <row r="3">
      <c r="A3" s="17" t="n">
        <v>2</v>
      </c>
      <c r="B3" s="17" t="inlineStr">
        <is>
          <t>Returns and Allowances</t>
        </is>
      </c>
      <c r="C3" s="13" t="inlineStr"/>
      <c r="D3" s="2" t="inlineStr"/>
    </row>
    <row r="4">
      <c r="A4" s="17" t="n">
        <v>3</v>
      </c>
      <c r="B4" s="17" t="inlineStr">
        <is>
          <t>Gross Income (= line 1 - 2)</t>
        </is>
      </c>
      <c r="C4" s="13" t="inlineStr"/>
      <c r="D4" s="2" t="inlineStr"/>
    </row>
    <row r="5">
      <c r="A5" s="17" t="n">
        <v>4</v>
      </c>
      <c r="B5" s="17" t="inlineStr">
        <is>
          <t>Advertising</t>
        </is>
      </c>
      <c r="C5" s="13" t="inlineStr"/>
      <c r="D5" s="2" t="inlineStr"/>
    </row>
    <row r="6">
      <c r="A6" s="17" t="n">
        <v>5</v>
      </c>
      <c r="B6" s="17" t="inlineStr">
        <is>
          <t>Car and Truck Expenses</t>
        </is>
      </c>
      <c r="C6" s="13" t="inlineStr"/>
      <c r="D6" s="2" t="inlineStr"/>
    </row>
    <row r="7">
      <c r="A7" s="17" t="n">
        <v>6</v>
      </c>
      <c r="B7" s="17" t="inlineStr">
        <is>
          <t>Contract Labor (Subcontractors)</t>
        </is>
      </c>
      <c r="C7" s="13" t="inlineStr"/>
      <c r="D7" s="2" t="inlineStr"/>
    </row>
    <row r="8">
      <c r="A8" s="17" t="n">
        <v>7</v>
      </c>
      <c r="B8" s="17" t="inlineStr">
        <is>
          <t>Depreciation</t>
        </is>
      </c>
      <c r="C8" s="13" t="inlineStr"/>
      <c r="D8" s="2" t="inlineStr"/>
    </row>
    <row r="9">
      <c r="A9" s="17" t="n">
        <v>8</v>
      </c>
      <c r="B9" s="17" t="inlineStr">
        <is>
          <t>Insurance (other than health)</t>
        </is>
      </c>
      <c r="C9" s="13" t="inlineStr"/>
      <c r="D9" s="2" t="inlineStr"/>
    </row>
    <row r="10">
      <c r="A10" s="17" t="n">
        <v>9</v>
      </c>
      <c r="B10" s="17" t="inlineStr">
        <is>
          <t>Legal &amp; Professional Services</t>
        </is>
      </c>
      <c r="C10" s="13" t="inlineStr"/>
      <c r="D10" s="2" t="inlineStr"/>
    </row>
    <row r="11">
      <c r="A11" s="17" t="n">
        <v>10</v>
      </c>
      <c r="B11" s="17" t="inlineStr">
        <is>
          <t>Office Expenses</t>
        </is>
      </c>
      <c r="C11" s="13" t="inlineStr"/>
      <c r="D11" s="2" t="inlineStr"/>
    </row>
    <row r="12">
      <c r="A12" s="17" t="n">
        <v>11</v>
      </c>
      <c r="B12" s="17" t="inlineStr">
        <is>
          <t>Rent or Lease - Vehicles</t>
        </is>
      </c>
      <c r="C12" s="13" t="inlineStr"/>
      <c r="D12" s="2" t="inlineStr"/>
    </row>
    <row r="13">
      <c r="A13" s="17" t="n">
        <v>12</v>
      </c>
      <c r="B13" s="17" t="inlineStr">
        <is>
          <t>Rent or Lease - Equipment</t>
        </is>
      </c>
      <c r="C13" s="13" t="inlineStr"/>
      <c r="D13" s="2" t="inlineStr"/>
    </row>
    <row r="14">
      <c r="A14" s="17" t="n">
        <v>13</v>
      </c>
      <c r="B14" s="17" t="inlineStr">
        <is>
          <t>Repairs and Maintenance</t>
        </is>
      </c>
      <c r="C14" s="13" t="inlineStr"/>
      <c r="D14" s="2" t="inlineStr"/>
    </row>
    <row r="15">
      <c r="A15" s="17" t="n">
        <v>14</v>
      </c>
      <c r="B15" s="17" t="inlineStr">
        <is>
          <t>Supplies</t>
        </is>
      </c>
      <c r="C15" s="13" t="inlineStr"/>
      <c r="D15" s="2" t="inlineStr"/>
    </row>
    <row r="16">
      <c r="A16" s="17" t="n">
        <v>15</v>
      </c>
      <c r="B16" s="17" t="inlineStr">
        <is>
          <t>Taxes and Licenses</t>
        </is>
      </c>
      <c r="C16" s="13" t="inlineStr"/>
      <c r="D16" s="2" t="inlineStr"/>
    </row>
    <row r="17">
      <c r="A17" s="17" t="n">
        <v>16</v>
      </c>
      <c r="B17" s="17" t="inlineStr">
        <is>
          <t>Travel</t>
        </is>
      </c>
      <c r="C17" s="13" t="inlineStr"/>
      <c r="D17" s="2" t="inlineStr"/>
    </row>
    <row r="18">
      <c r="A18" s="17" t="n">
        <v>17</v>
      </c>
      <c r="B18" s="17" t="inlineStr">
        <is>
          <t>Meals (50%)</t>
        </is>
      </c>
      <c r="C18" s="13" t="inlineStr"/>
      <c r="D18" s="2" t="inlineStr"/>
    </row>
    <row r="19">
      <c r="A19" s="17" t="n">
        <v>18</v>
      </c>
      <c r="B19" s="17" t="inlineStr">
        <is>
          <t>Utilities</t>
        </is>
      </c>
      <c r="C19" s="13" t="inlineStr"/>
      <c r="D19" s="2" t="inlineStr"/>
    </row>
    <row r="20">
      <c r="A20" s="17" t="n">
        <v>19</v>
      </c>
      <c r="B20" s="17" t="inlineStr">
        <is>
          <t>Wages</t>
        </is>
      </c>
      <c r="C20" s="13" t="inlineStr"/>
      <c r="D20" s="2" t="inlineStr"/>
    </row>
    <row r="21">
      <c r="A21" s="17" t="n">
        <v>20</v>
      </c>
      <c r="B21" s="17" t="inlineStr">
        <is>
          <t>Other Expenses</t>
        </is>
      </c>
      <c r="C21" s="13" t="inlineStr"/>
      <c r="D21" s="2" t="inlineStr"/>
    </row>
    <row r="22"/>
    <row r="23">
      <c r="A23" s="23" t="inlineStr">
        <is>
          <t>Total Expenses</t>
        </is>
      </c>
      <c r="C23" s="27">
        <f>SUM(C4:C21)</f>
        <v/>
      </c>
    </row>
    <row r="24"/>
    <row r="25">
      <c r="A25" s="23" t="inlineStr">
        <is>
          <t>NET PROFIT (Gross Income - Total Expenses)</t>
        </is>
      </c>
      <c r="C25" s="27">
        <f>C3-C23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Description</t>
        </is>
      </c>
      <c r="B1" s="20" t="inlineStr">
        <is>
          <t>Amount ($)</t>
        </is>
      </c>
    </row>
    <row r="2">
      <c r="A2" s="17" t="inlineStr">
        <is>
          <t>Gross Wages</t>
        </is>
      </c>
      <c r="B2" s="13" t="inlineStr"/>
    </row>
    <row r="3">
      <c r="A3" s="17" t="inlineStr">
        <is>
          <t>Overtime Pay</t>
        </is>
      </c>
      <c r="B3" s="13" t="inlineStr"/>
    </row>
    <row r="4">
      <c r="A4" s="17" t="inlineStr">
        <is>
          <t>Bonuses</t>
        </is>
      </c>
      <c r="B4" s="13" t="inlineStr"/>
    </row>
    <row r="5">
      <c r="A5" s="17" t="inlineStr">
        <is>
          <t>Number of Employees</t>
        </is>
      </c>
      <c r="B5" s="13" t="inlineStr"/>
    </row>
    <row r="6"/>
    <row r="7">
      <c r="A7" s="23" t="inlineStr">
        <is>
          <t>Employer SS Tax (6.2%)</t>
        </is>
      </c>
      <c r="B7" s="22">
        <f>(B2+B3+B4)*0.062</f>
        <v/>
      </c>
    </row>
    <row r="8">
      <c r="A8" s="23" t="inlineStr">
        <is>
          <t>Employer Medicare Tax (1.45%)</t>
        </is>
      </c>
      <c r="B8" s="22">
        <f>(B2+B3+B4)*0.0145</f>
        <v/>
      </c>
    </row>
    <row r="9">
      <c r="A9" s="23" t="inlineStr">
        <is>
          <t>Estimated FUTA Tax</t>
        </is>
      </c>
      <c r="B9" s="22">
        <f>(B2*0.006)</f>
        <v/>
      </c>
    </row>
    <row r="10"/>
    <row r="11">
      <c r="A11" s="23" t="inlineStr">
        <is>
          <t>Total Employer Payroll Taxes</t>
        </is>
      </c>
      <c r="B11" s="22">
        <f>SUM(B7:B9)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Description</t>
        </is>
      </c>
      <c r="B1" s="20" t="inlineStr">
        <is>
          <t>Amount ($)</t>
        </is>
      </c>
    </row>
    <row r="2">
      <c r="A2" s="17" t="inlineStr">
        <is>
          <t>Statement Start Balance</t>
        </is>
      </c>
      <c r="B2" s="13" t="inlineStr"/>
    </row>
    <row r="3">
      <c r="A3" s="17" t="inlineStr">
        <is>
          <t>Statement End Balance</t>
        </is>
      </c>
      <c r="B3" s="13" t="inlineStr"/>
    </row>
    <row r="4">
      <c r="A4" s="17" t="inlineStr">
        <is>
          <t>Payments Made</t>
        </is>
      </c>
      <c r="B4" s="13" t="inlineStr"/>
    </row>
    <row r="5">
      <c r="A5" s="17" t="inlineStr">
        <is>
          <t>Credits / Refunds</t>
        </is>
      </c>
      <c r="B5" s="13" t="inlineStr"/>
    </row>
    <row r="6">
      <c r="A6" s="17" t="inlineStr">
        <is>
          <t>New Charges from Expenses Sheet</t>
        </is>
      </c>
      <c r="B6" s="13" t="inlineStr"/>
    </row>
    <row r="7">
      <c r="A7" s="17" t="inlineStr">
        <is>
          <t>Manual New Charges</t>
        </is>
      </c>
      <c r="B7" s="13" t="inlineStr"/>
    </row>
    <row r="8"/>
    <row r="9">
      <c r="A9" s="23" t="inlineStr">
        <is>
          <t>Calculated Ending Balance</t>
        </is>
      </c>
      <c r="B9" s="27">
        <f>B2-B3+B5+B6</f>
        <v/>
      </c>
    </row>
    <row r="10"/>
    <row r="11">
      <c r="A11" s="23" t="inlineStr">
        <is>
          <t>Difference (Should be $0)</t>
        </is>
      </c>
      <c r="B11" s="27">
        <f>B9-B3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Category</t>
        </is>
      </c>
      <c r="B1" s="20" t="inlineStr">
        <is>
          <t>Amount ($)</t>
        </is>
      </c>
    </row>
    <row r="2">
      <c r="A2" s="17" t="inlineStr">
        <is>
          <t>Total home square footage</t>
        </is>
      </c>
      <c r="B2" s="13" t="inlineStr"/>
    </row>
    <row r="3">
      <c r="A3" s="17" t="inlineStr">
        <is>
          <t>Business-use square footage</t>
        </is>
      </c>
      <c r="B3" s="13" t="inlineStr"/>
    </row>
    <row r="4">
      <c r="A4" s="17" t="inlineStr">
        <is>
          <t>Percentage business use</t>
        </is>
      </c>
      <c r="B4" s="27">
        <f>B3/B2</f>
        <v/>
      </c>
    </row>
    <row r="5">
      <c r="A5" s="2" t="inlineStr"/>
    </row>
    <row r="6">
      <c r="A6" s="17" t="inlineStr">
        <is>
          <t>Rent or Mortgage Interest</t>
        </is>
      </c>
      <c r="B6" s="13" t="inlineStr"/>
    </row>
    <row r="7">
      <c r="A7" s="17" t="inlineStr">
        <is>
          <t>Utilities</t>
        </is>
      </c>
      <c r="B7" s="13" t="inlineStr"/>
    </row>
    <row r="8">
      <c r="A8" s="17" t="inlineStr">
        <is>
          <t>Internet</t>
        </is>
      </c>
      <c r="B8" s="13" t="inlineStr"/>
    </row>
    <row r="9">
      <c r="A9" s="17" t="inlineStr">
        <is>
          <t>Repairs &amp; Maintenance</t>
        </is>
      </c>
      <c r="B9" s="13" t="inlineStr"/>
    </row>
    <row r="10">
      <c r="A10" s="17" t="inlineStr">
        <is>
          <t>Homeowners/Renters Insurance</t>
        </is>
      </c>
      <c r="B10" s="13" t="inlineStr"/>
    </row>
    <row r="11"/>
    <row r="12">
      <c r="A12" s="23" t="inlineStr">
        <is>
          <t>Total Home Office Deduction</t>
        </is>
      </c>
      <c r="B12" s="27">
        <f>SUM(B5:B10)*B4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Asset</t>
        </is>
      </c>
      <c r="B1" s="15" t="inlineStr">
        <is>
          <t>Category</t>
        </is>
      </c>
      <c r="C1" s="15" t="inlineStr">
        <is>
          <t>Cost Basis</t>
        </is>
      </c>
      <c r="D1" s="15" t="inlineStr">
        <is>
          <t>Date Placed in Service</t>
        </is>
      </c>
      <c r="E1" s="15" t="inlineStr">
        <is>
          <t>Recovery Period (Years)</t>
        </is>
      </c>
      <c r="F1" s="15" t="inlineStr">
        <is>
          <t>Annual Depreciation ($)</t>
        </is>
      </c>
    </row>
    <row r="2">
      <c r="A2" s="2" t="n"/>
      <c r="B2" s="2" t="n"/>
      <c r="C2" s="2" t="n"/>
      <c r="D2" s="2" t="n"/>
      <c r="E2" s="2" t="n"/>
      <c r="F2" s="27">
        <f>IF(E2&gt;0,C2/E2,"")</f>
        <v/>
      </c>
    </row>
    <row r="3">
      <c r="A3" s="2" t="n"/>
      <c r="B3" s="2" t="n"/>
      <c r="C3" s="2" t="n"/>
      <c r="D3" s="2" t="n"/>
      <c r="E3" s="2" t="n"/>
      <c r="F3" s="27">
        <f>IF(E3&gt;0,C3/E3,"")</f>
        <v/>
      </c>
    </row>
    <row r="4">
      <c r="A4" s="2" t="n"/>
      <c r="B4" s="2" t="n"/>
      <c r="C4" s="2" t="n"/>
      <c r="D4" s="2" t="n"/>
      <c r="E4" s="2" t="n"/>
      <c r="F4" s="27">
        <f>IF(E4&gt;0,C4/E4,"")</f>
        <v/>
      </c>
    </row>
    <row r="5">
      <c r="A5" s="2" t="n"/>
      <c r="B5" s="2" t="n"/>
      <c r="C5" s="2" t="n"/>
      <c r="D5" s="2" t="n"/>
      <c r="E5" s="2" t="n"/>
      <c r="F5" s="27">
        <f>IF(E5&gt;0,C5/E5,"")</f>
        <v/>
      </c>
    </row>
    <row r="6">
      <c r="A6" s="2" t="n"/>
      <c r="B6" s="2" t="n"/>
      <c r="C6" s="2" t="n"/>
      <c r="D6" s="2" t="n"/>
      <c r="E6" s="2" t="n"/>
      <c r="F6" s="27">
        <f>IF(E6&gt;0,C6/E6,"")</f>
        <v/>
      </c>
    </row>
    <row r="7">
      <c r="A7" s="2" t="n"/>
      <c r="B7" s="2" t="n"/>
      <c r="C7" s="2" t="n"/>
      <c r="D7" s="2" t="n"/>
      <c r="E7" s="2" t="n"/>
      <c r="F7" s="27">
        <f>IF(E7&gt;0,C7/E7,"")</f>
        <v/>
      </c>
    </row>
    <row r="8">
      <c r="A8" s="2" t="n"/>
      <c r="B8" s="2" t="n"/>
      <c r="C8" s="2" t="n"/>
      <c r="D8" s="2" t="n"/>
      <c r="E8" s="2" t="n"/>
      <c r="F8" s="27">
        <f>IF(E8&gt;0,C8/E8,"")</f>
        <v/>
      </c>
    </row>
    <row r="9">
      <c r="A9" s="2" t="n"/>
      <c r="B9" s="2" t="n"/>
      <c r="C9" s="2" t="n"/>
      <c r="D9" s="2" t="n"/>
      <c r="E9" s="2" t="n"/>
      <c r="F9" s="27">
        <f>IF(E9&gt;0,C9/E9,"")</f>
        <v/>
      </c>
    </row>
    <row r="10">
      <c r="A10" s="2" t="n"/>
      <c r="B10" s="2" t="n"/>
      <c r="C10" s="2" t="n"/>
      <c r="D10" s="2" t="n"/>
      <c r="E10" s="2" t="n"/>
      <c r="F10" s="27">
        <f>IF(E10&gt;0,C10/E10,"")</f>
        <v/>
      </c>
    </row>
    <row r="11">
      <c r="A11" s="2" t="n"/>
      <c r="B11" s="2" t="n"/>
      <c r="C11" s="2" t="n"/>
      <c r="D11" s="2" t="n"/>
      <c r="E11" s="2" t="n"/>
      <c r="F11" s="27">
        <f>IF(E11&gt;0,C11/E11,"")</f>
        <v/>
      </c>
    </row>
    <row r="12">
      <c r="A12" s="2" t="n"/>
      <c r="B12" s="2" t="n"/>
      <c r="C12" s="2" t="n"/>
      <c r="D12" s="2" t="n"/>
      <c r="E12" s="2" t="n"/>
      <c r="F12" s="27">
        <f>IF(E12&gt;0,C12/E12,"")</f>
        <v/>
      </c>
    </row>
    <row r="13">
      <c r="A13" s="2" t="n"/>
      <c r="B13" s="2" t="n"/>
      <c r="C13" s="2" t="n"/>
      <c r="D13" s="2" t="n"/>
      <c r="E13" s="2" t="n"/>
      <c r="F13" s="27">
        <f>IF(E13&gt;0,C13/E13,"")</f>
        <v/>
      </c>
    </row>
    <row r="14">
      <c r="A14" s="2" t="n"/>
      <c r="B14" s="2" t="n"/>
      <c r="C14" s="2" t="n"/>
      <c r="D14" s="2" t="n"/>
      <c r="E14" s="2" t="n"/>
      <c r="F14" s="27">
        <f>IF(E14&gt;0,C14/E14,"")</f>
        <v/>
      </c>
    </row>
    <row r="15">
      <c r="A15" s="2" t="n"/>
      <c r="B15" s="2" t="n"/>
      <c r="C15" s="2" t="n"/>
      <c r="D15" s="2" t="n"/>
      <c r="E15" s="2" t="n"/>
      <c r="F15" s="27">
        <f>IF(E15&gt;0,C15/E15,"")</f>
        <v/>
      </c>
    </row>
    <row r="16">
      <c r="A16" s="2" t="n"/>
      <c r="B16" s="2" t="n"/>
      <c r="C16" s="2" t="n"/>
      <c r="D16" s="2" t="n"/>
      <c r="E16" s="2" t="n"/>
      <c r="F16" s="27">
        <f>IF(E16&gt;0,C16/E16,"")</f>
        <v/>
      </c>
    </row>
    <row r="17">
      <c r="A17" s="2" t="n"/>
      <c r="B17" s="2" t="n"/>
      <c r="C17" s="2" t="n"/>
      <c r="D17" s="2" t="n"/>
      <c r="E17" s="2" t="n"/>
      <c r="F17" s="27">
        <f>IF(E17&gt;0,C17/E17,"")</f>
        <v/>
      </c>
    </row>
    <row r="18">
      <c r="A18" s="2" t="n"/>
      <c r="B18" s="2" t="n"/>
      <c r="C18" s="2" t="n"/>
      <c r="D18" s="2" t="n"/>
      <c r="E18" s="2" t="n"/>
      <c r="F18" s="27">
        <f>IF(E18&gt;0,C18/E18,"")</f>
        <v/>
      </c>
    </row>
    <row r="19">
      <c r="A19" s="2" t="n"/>
      <c r="B19" s="2" t="n"/>
      <c r="C19" s="2" t="n"/>
      <c r="D19" s="2" t="n"/>
      <c r="E19" s="2" t="n"/>
      <c r="F19" s="27">
        <f>IF(E19&gt;0,C19/E19,"")</f>
        <v/>
      </c>
    </row>
    <row r="20">
      <c r="A20" s="2" t="n"/>
      <c r="B20" s="2" t="n"/>
      <c r="C20" s="2" t="n"/>
      <c r="D20" s="2" t="n"/>
      <c r="E20" s="2" t="n"/>
      <c r="F20" s="27">
        <f>IF(E20&gt;0,C20/E20,"")</f>
        <v/>
      </c>
    </row>
    <row r="21">
      <c r="A21" s="2" t="n"/>
      <c r="B21" s="2" t="n"/>
      <c r="C21" s="2" t="n"/>
      <c r="D21" s="2" t="n"/>
      <c r="E21" s="2" t="n"/>
      <c r="F21" s="27">
        <f>IF(E21&gt;0,C21/E21,"")</f>
        <v/>
      </c>
    </row>
    <row r="22">
      <c r="A22" s="2" t="n"/>
      <c r="B22" s="2" t="n"/>
      <c r="C22" s="2" t="n"/>
      <c r="D22" s="2" t="n"/>
      <c r="E22" s="2" t="n"/>
      <c r="F22" s="27">
        <f>IF(E22&gt;0,C22/E22,"")</f>
        <v/>
      </c>
    </row>
    <row r="23">
      <c r="A23" s="2" t="n"/>
      <c r="B23" s="2" t="n"/>
      <c r="C23" s="2" t="n"/>
      <c r="D23" s="2" t="n"/>
      <c r="E23" s="2" t="n"/>
      <c r="F23" s="27">
        <f>IF(E23&gt;0,C23/E23,"")</f>
        <v/>
      </c>
    </row>
    <row r="24">
      <c r="A24" s="2" t="n"/>
      <c r="B24" s="2" t="n"/>
      <c r="C24" s="2" t="n"/>
      <c r="D24" s="2" t="n"/>
      <c r="E24" s="2" t="n"/>
      <c r="F24" s="27">
        <f>IF(E24&gt;0,C24/E24,"")</f>
        <v/>
      </c>
    </row>
    <row r="25">
      <c r="A25" s="2" t="n"/>
      <c r="B25" s="2" t="n"/>
      <c r="C25" s="2" t="n"/>
      <c r="D25" s="2" t="n"/>
      <c r="E25" s="2" t="n"/>
      <c r="F25" s="27">
        <f>IF(E25&gt;0,C25/E25,"")</f>
        <v/>
      </c>
    </row>
    <row r="26">
      <c r="A26" s="2" t="n"/>
      <c r="B26" s="2" t="n"/>
      <c r="C26" s="2" t="n"/>
      <c r="D26" s="2" t="n"/>
      <c r="E26" s="2" t="n"/>
      <c r="F26" s="27">
        <f>IF(E26&gt;0,C26/E26,"")</f>
        <v/>
      </c>
    </row>
    <row r="27">
      <c r="A27" s="2" t="n"/>
      <c r="B27" s="2" t="n"/>
      <c r="C27" s="2" t="n"/>
      <c r="D27" s="2" t="n"/>
      <c r="E27" s="2" t="n"/>
      <c r="F27" s="27">
        <f>IF(E27&gt;0,C27/E27,"")</f>
        <v/>
      </c>
    </row>
    <row r="28">
      <c r="A28" s="2" t="n"/>
      <c r="B28" s="2" t="n"/>
      <c r="C28" s="2" t="n"/>
      <c r="D28" s="2" t="n"/>
      <c r="E28" s="2" t="n"/>
      <c r="F28" s="27">
        <f>IF(E28&gt;0,C28/E28,"")</f>
        <v/>
      </c>
    </row>
    <row r="29">
      <c r="A29" s="2" t="n"/>
      <c r="B29" s="2" t="n"/>
      <c r="C29" s="2" t="n"/>
      <c r="D29" s="2" t="n"/>
      <c r="E29" s="2" t="n"/>
      <c r="F29" s="27">
        <f>IF(E29&gt;0,C29/E29,"")</f>
        <v/>
      </c>
    </row>
    <row r="30">
      <c r="A30" s="2" t="n"/>
      <c r="B30" s="2" t="n"/>
      <c r="C30" s="2" t="n"/>
      <c r="D30" s="2" t="n"/>
      <c r="E30" s="2" t="n"/>
      <c r="F30" s="27">
        <f>IF(E30&gt;0,C30/E30,"")</f>
        <v/>
      </c>
    </row>
    <row r="31">
      <c r="A31" s="2" t="n"/>
      <c r="B31" s="2" t="n"/>
      <c r="C31" s="2" t="n"/>
      <c r="D31" s="2" t="n"/>
      <c r="E31" s="2" t="n"/>
      <c r="F31" s="27">
        <f>IF(E31&gt;0,C31/E31,"")</f>
        <v/>
      </c>
    </row>
    <row r="32">
      <c r="A32" s="2" t="n"/>
      <c r="B32" s="2" t="n"/>
      <c r="C32" s="2" t="n"/>
      <c r="D32" s="2" t="n"/>
      <c r="E32" s="2" t="n"/>
      <c r="F32" s="27">
        <f>IF(E32&gt;0,C32/E32,"")</f>
        <v/>
      </c>
    </row>
    <row r="33">
      <c r="A33" s="2" t="n"/>
      <c r="B33" s="2" t="n"/>
      <c r="C33" s="2" t="n"/>
      <c r="D33" s="2" t="n"/>
      <c r="E33" s="2" t="n"/>
      <c r="F33" s="27">
        <f>IF(E33&gt;0,C33/E33,"")</f>
        <v/>
      </c>
    </row>
    <row r="34">
      <c r="A34" s="2" t="n"/>
      <c r="B34" s="2" t="n"/>
      <c r="C34" s="2" t="n"/>
      <c r="D34" s="2" t="n"/>
      <c r="E34" s="2" t="n"/>
      <c r="F34" s="27">
        <f>IF(E34&gt;0,C34/E34,"")</f>
        <v/>
      </c>
    </row>
    <row r="35">
      <c r="A35" s="2" t="n"/>
      <c r="B35" s="2" t="n"/>
      <c r="C35" s="2" t="n"/>
      <c r="D35" s="2" t="n"/>
      <c r="E35" s="2" t="n"/>
      <c r="F35" s="27">
        <f>IF(E35&gt;0,C35/E35,"")</f>
        <v/>
      </c>
    </row>
    <row r="36">
      <c r="A36" s="2" t="n"/>
      <c r="B36" s="2" t="n"/>
      <c r="C36" s="2" t="n"/>
      <c r="D36" s="2" t="n"/>
      <c r="E36" s="2" t="n"/>
      <c r="F36" s="27">
        <f>IF(E36&gt;0,C36/E36,"")</f>
        <v/>
      </c>
    </row>
    <row r="37">
      <c r="A37" s="2" t="n"/>
      <c r="B37" s="2" t="n"/>
      <c r="C37" s="2" t="n"/>
      <c r="D37" s="2" t="n"/>
      <c r="E37" s="2" t="n"/>
      <c r="F37" s="27">
        <f>IF(E37&gt;0,C37/E37,"")</f>
        <v/>
      </c>
    </row>
    <row r="38">
      <c r="A38" s="2" t="n"/>
      <c r="B38" s="2" t="n"/>
      <c r="C38" s="2" t="n"/>
      <c r="D38" s="2" t="n"/>
      <c r="E38" s="2" t="n"/>
      <c r="F38" s="27">
        <f>IF(E38&gt;0,C38/E38,"")</f>
        <v/>
      </c>
    </row>
    <row r="39">
      <c r="A39" s="2" t="n"/>
      <c r="B39" s="2" t="n"/>
      <c r="C39" s="2" t="n"/>
      <c r="D39" s="2" t="n"/>
      <c r="E39" s="2" t="n"/>
      <c r="F39" s="27">
        <f>IF(E39&gt;0,C39/E39,"")</f>
        <v/>
      </c>
    </row>
    <row r="40">
      <c r="A40" s="2" t="n"/>
      <c r="B40" s="2" t="n"/>
      <c r="C40" s="2" t="n"/>
      <c r="D40" s="2" t="n"/>
      <c r="E40" s="2" t="n"/>
      <c r="F40" s="27">
        <f>IF(E40&gt;0,C40/E40,"")</f>
        <v/>
      </c>
    </row>
    <row r="41">
      <c r="A41" s="2" t="n"/>
      <c r="B41" s="2" t="n"/>
      <c r="C41" s="2" t="n"/>
      <c r="D41" s="2" t="n"/>
      <c r="E41" s="2" t="n"/>
      <c r="F41" s="27">
        <f>IF(E41&gt;0,C41/E41,"")</f>
        <v/>
      </c>
    </row>
    <row r="42">
      <c r="A42" s="2" t="n"/>
      <c r="B42" s="2" t="n"/>
      <c r="C42" s="2" t="n"/>
      <c r="D42" s="2" t="n"/>
      <c r="E42" s="2" t="n"/>
      <c r="F42" s="27">
        <f>IF(E42&gt;0,C42/E42,"")</f>
        <v/>
      </c>
    </row>
    <row r="43">
      <c r="A43" s="2" t="n"/>
      <c r="B43" s="2" t="n"/>
      <c r="C43" s="2" t="n"/>
      <c r="D43" s="2" t="n"/>
      <c r="E43" s="2" t="n"/>
      <c r="F43" s="27">
        <f>IF(E43&gt;0,C43/E43,"")</f>
        <v/>
      </c>
    </row>
    <row r="44">
      <c r="A44" s="2" t="n"/>
      <c r="B44" s="2" t="n"/>
      <c r="C44" s="2" t="n"/>
      <c r="D44" s="2" t="n"/>
      <c r="E44" s="2" t="n"/>
      <c r="F44" s="27">
        <f>IF(E44&gt;0,C44/E44,"")</f>
        <v/>
      </c>
    </row>
    <row r="45">
      <c r="A45" s="2" t="n"/>
      <c r="B45" s="2" t="n"/>
      <c r="C45" s="2" t="n"/>
      <c r="D45" s="2" t="n"/>
      <c r="E45" s="2" t="n"/>
      <c r="F45" s="27">
        <f>IF(E45&gt;0,C45/E45,"")</f>
        <v/>
      </c>
    </row>
    <row r="46">
      <c r="A46" s="2" t="n"/>
      <c r="B46" s="2" t="n"/>
      <c r="C46" s="2" t="n"/>
      <c r="D46" s="2" t="n"/>
      <c r="E46" s="2" t="n"/>
      <c r="F46" s="27">
        <f>IF(E46&gt;0,C46/E46,"")</f>
        <v/>
      </c>
    </row>
    <row r="47">
      <c r="A47" s="2" t="n"/>
      <c r="B47" s="2" t="n"/>
      <c r="C47" s="2" t="n"/>
      <c r="D47" s="2" t="n"/>
      <c r="E47" s="2" t="n"/>
      <c r="F47" s="27">
        <f>IF(E47&gt;0,C47/E47,"")</f>
        <v/>
      </c>
    </row>
    <row r="48">
      <c r="A48" s="2" t="n"/>
      <c r="B48" s="2" t="n"/>
      <c r="C48" s="2" t="n"/>
      <c r="D48" s="2" t="n"/>
      <c r="E48" s="2" t="n"/>
      <c r="F48" s="27">
        <f>IF(E48&gt;0,C48/E48,"")</f>
        <v/>
      </c>
    </row>
    <row r="49">
      <c r="A49" s="2" t="n"/>
      <c r="B49" s="2" t="n"/>
      <c r="C49" s="2" t="n"/>
      <c r="D49" s="2" t="n"/>
      <c r="E49" s="2" t="n"/>
      <c r="F49" s="27">
        <f>IF(E49&gt;0,C49/E49,"")</f>
        <v/>
      </c>
    </row>
    <row r="50">
      <c r="A50" s="2" t="n"/>
      <c r="B50" s="2" t="n"/>
      <c r="C50" s="2" t="n"/>
      <c r="D50" s="2" t="n"/>
      <c r="E50" s="2" t="n"/>
      <c r="F50" s="27">
        <f>IF(E50&gt;0,C50/E50,"")</f>
        <v/>
      </c>
    </row>
    <row r="51">
      <c r="A51" s="2" t="n"/>
      <c r="B51" s="2" t="n"/>
      <c r="C51" s="2" t="n"/>
      <c r="D51" s="2" t="n"/>
      <c r="E51" s="2" t="n"/>
      <c r="F51" s="27">
        <f>IF(E51&gt;0,C51/E51,"")</f>
        <v/>
      </c>
    </row>
    <row r="52"/>
    <row r="53"/>
    <row r="54"/>
    <row r="55">
      <c r="A55" s="23" t="inlineStr">
        <is>
          <t>Total Annual Depreciation</t>
        </is>
      </c>
      <c r="F55" s="27">
        <f>SUM(F2:F51)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2025-11-26T15:26:13Z</dcterms:created>
  <dcterms:modified xmlns:dcterms="http://purl.org/dc/terms/" xmlns:xsi="http://www.w3.org/2001/XMLSchema-instance" xsi:type="dcterms:W3CDTF">2025-11-26T15:26:13Z</dcterms:modified>
</cp:coreProperties>
</file>
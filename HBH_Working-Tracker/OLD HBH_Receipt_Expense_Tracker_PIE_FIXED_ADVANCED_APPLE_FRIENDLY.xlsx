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b7a3428a1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 Lists" sheetId="1" r:id="Rb6f1f215c5c04b73"/>
    <x:sheet xmlns:r="http://schemas.openxmlformats.org/officeDocument/2006/relationships" name="Home Depot" sheetId="2" r:id="R2bb488ec09fa4b55"/>
    <x:sheet xmlns:r="http://schemas.openxmlformats.org/officeDocument/2006/relationships" name="Lowes" sheetId="3" r:id="R686413c069214cec"/>
    <x:sheet xmlns:r="http://schemas.openxmlformats.org/officeDocument/2006/relationships" name="Amazon" sheetId="4" r:id="R3be9644128ac413d"/>
    <x:sheet xmlns:r="http://schemas.openxmlformats.org/officeDocument/2006/relationships" name="Misc Vendors" sheetId="5" r:id="Rc486463c32bd457f"/>
    <x:sheet xmlns:r="http://schemas.openxmlformats.org/officeDocument/2006/relationships" name="Future Blank" sheetId="6" r:id="R3d35bfaf335f491b"/>
    <x:sheet xmlns:r="http://schemas.openxmlformats.org/officeDocument/2006/relationships" name="All Expenses Summary" sheetId="7" r:id="Rfdfccb95da6a4033"/>
    <x:sheet xmlns:r="http://schemas.openxmlformats.org/officeDocument/2006/relationships" name="Color Dashboard" sheetId="8" r:id="R4cae8c70657849e9"/>
    <x:sheet xmlns:r="http://schemas.openxmlformats.org/officeDocument/2006/relationships" name="Apple-Friendly Pro Tips" sheetId="9" r:id="Rbae1d060b84b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mm/dd/yyyy"/>
    <x:numFmt numFmtId="203" formatCode="m/d/yyyy"/>
  </x:numFmts>
  <x:fonts count="19">
    <x:font>
      <x:sz val="11"/>
      <x:name val="Carlito"/>
    </x:font>
    <x:font>
      <x:b/>
      <x:sz val="12"/>
      <x:color rgb="FFFFFF"/>
      <x:name val="Arial"/>
    </x:font>
    <x:font>
      <x:sz val="10"/>
      <x:color rgb="1F2937"/>
      <x:name val="Arial"/>
    </x:font>
    <x:font>
      <x:b/>
      <x:sz val="16"/>
      <x:color rgb="FFFFFF"/>
      <x:name val="Arial"/>
    </x:font>
    <x:font>
      <x:b/>
      <x:sz val="11"/>
      <x:color rgb="1F2937"/>
      <x:name val="Carlito"/>
    </x:font>
    <x:font>
      <x:i/>
      <x:sz val="10"/>
      <x:color rgb="1F2937"/>
      <x:name val="Carlito"/>
    </x:font>
    <x:font>
      <x:b/>
      <x:sz val="11"/>
      <x:color rgb="0B1F3A"/>
      <x:name val="Carlito"/>
    </x:font>
    <x:font>
      <x:b/>
      <x:sz val="10"/>
      <x:color rgb="FFFFFF"/>
      <x:name val="Arial"/>
    </x:font>
    <x:font>
      <x:sz val="9"/>
      <x:color rgb="1F2937"/>
      <x:name val="Arial"/>
    </x:font>
    <x:font>
      <x:b/>
      <x:sz val="11"/>
      <x:color rgb="FFFFFF"/>
      <x:name val="Carlito"/>
    </x:font>
    <x:font>
      <x:sz val="11"/>
      <x:color rgb="1F2937"/>
      <x:name val="Carlito"/>
    </x:font>
    <x:font>
      <x:sz val="10"/>
      <x:color rgb="1F2937"/>
      <x:name val="Carlito"/>
    </x:font>
    <x:font>
      <x:b/>
      <x:sz val="18"/>
      <x:color rgb="0B1F3A"/>
      <x:name val="Carlito"/>
    </x:font>
    <x:font>
      <x:sz val="10"/>
      <x:color rgb="000000"/>
      <x:name val="Arial"/>
    </x:font>
    <x:font>
      <x:sz val="11"/>
      <x:color rgb="000000"/>
      <x:name val="Carlito"/>
    </x:font>
    <x:font>
      <x:sz val="10"/>
      <x:color rgb="000000"/>
      <x:name val="Carlito"/>
    </x:font>
    <x:font>
      <x:b/>
      <x:sz val="11"/>
      <x:color rgb="0B2239"/>
      <x:name val="Carlito"/>
    </x:font>
    <x:font>
      <x:b/>
      <x:sz val="16"/>
      <x:color rgb="FFFFFF"/>
      <x:name val="Carlito"/>
    </x:font>
    <x:font>
      <x:i/>
      <x:sz val="11"/>
      <x:color rgb="0B2239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FFFCF3"/>
      </x:patternFill>
    </x:fill>
    <x:fill>
      <x:patternFill patternType="solid">
        <x:fgColor rgb="F5EDCF"/>
      </x:patternFill>
    </x:fill>
    <x:fill>
      <x:patternFill patternType="solid">
        <x:fgColor rgb="EAF0F7"/>
      </x:patternFill>
    </x:fill>
    <x:fill>
      <x:patternFill patternType="solid">
        <x:fgColor rgb="FFFFFF"/>
      </x:patternFill>
    </x:fill>
    <x:fill>
      <x:patternFill patternType="solid">
        <x:fgColor rgb="12345A"/>
      </x:patternFill>
    </x:fill>
    <x:fill>
      <x:patternFill patternType="solid">
        <x:fgColor rgb="F5F6F8"/>
      </x:patternFill>
    </x:fill>
    <x:fill>
      <x:patternFill patternType="solid">
        <x:fgColor rgb="FFFFFF"/>
      </x:patternFill>
    </x:fill>
    <x:fill>
      <x:patternFill patternType="solid">
        <x:fgColor rgb="EAF0F7"/>
      </x:patternFill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  <x:fill>
      <x:patternFill patternType="solid">
        <x:fgColor rgb="0B2239"/>
      </x:patternFill>
    </x:fill>
    <x:fill>
      <x:patternFill patternType="solid">
        <x:fgColor rgb="F4E7BF"/>
      </x:patternFill>
    </x:fill>
    <x:fill>
      <x:patternFill patternType="solid">
        <x:fgColor rgb="D8B45A"/>
      </x:patternFill>
    </x:fill>
  </x:fills>
  <x:borders count="6">
    <x:border/>
    <x:border/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1F4E78"/>
      </x:left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6" borderId="0" xfId="0" applyNumberFormat="1" applyFont="1" applyFill="1" applyBorder="1"/>
    <x:xf numFmtId="0" fontId="4" fillId="6" borderId="2" xfId="0" applyNumberFormat="1" applyFont="1" applyFill="1" applyBorder="1"/>
    <x:xf numFmtId="201" fontId="0" fillId="6" borderId="0" xfId="0" applyNumberFormat="1" applyFont="1" applyFill="1" applyBorder="1"/>
    <x:xf numFmtId="200" fontId="6" fillId="6" borderId="0" xfId="0" applyNumberFormat="1" applyFont="1" applyFill="1" applyBorder="1"/>
    <x:xf numFmtId="0" fontId="6" fillId="6" borderId="2" xfId="0" applyNumberFormat="1" applyFont="1" applyFill="1" applyBorder="1"/>
    <x:xf numFmtId="201" fontId="6" fillId="6" borderId="0" xfId="0" applyNumberFormat="1" applyFont="1" applyFill="1" applyBorder="1"/>
    <x:xf numFmtId="200" fontId="6" fillId="6" borderId="2" xfId="0" applyNumberFormat="1" applyFont="1" applyFill="1" applyBorder="1"/>
    <x:xf numFmtId="201" fontId="6" fillId="6" borderId="2" xfId="0" applyNumberFormat="1" applyFont="1" applyFill="1" applyBorder="1"/>
    <x:xf numFmtId="20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201" fontId="6" fillId="6" borderId="2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/>
    <x:xf numFmtId="0" fontId="4" fillId="6" borderId="3" xfId="0" applyNumberFormat="1" applyFont="1" applyFill="1" applyBorder="1"/>
    <x:xf numFmtId="201" fontId="0" fillId="6" borderId="1" xfId="0" applyNumberFormat="1" applyFont="1" applyFill="1" applyBorder="1"/>
    <x:xf numFmtId="200" fontId="6" fillId="6" borderId="1" xfId="0" applyNumberFormat="1" applyFont="1" applyFill="1" applyBorder="1"/>
    <x:xf numFmtId="0" fontId="6" fillId="6" borderId="3" xfId="0" applyNumberFormat="1" applyFont="1" applyFill="1" applyBorder="1"/>
    <x:xf numFmtId="201" fontId="6" fillId="6" borderId="1" xfId="0" applyNumberFormat="1" applyFont="1" applyFill="1" applyBorder="1"/>
    <x:xf numFmtId="200" fontId="6" fillId="6" borderId="3" xfId="0" applyNumberFormat="1" applyFont="1" applyFill="1" applyBorder="1"/>
    <x:xf numFmtId="201" fontId="6" fillId="6" borderId="3" xfId="0" applyNumberFormat="1" applyFont="1" applyFill="1" applyBorder="1"/>
    <x:xf numFmtId="200" fontId="6" fillId="6" borderId="3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202" fontId="2" fillId="3" borderId="2" xfId="0" applyNumberFormat="1" applyFont="1" applyFill="1" applyBorder="1" applyAlignment="1">
      <x:alignment vertical="center" wrapText="1"/>
    </x:xf>
    <x:xf numFmtId="202" fontId="2" fillId="3" borderId="3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2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/>
    <x:xf numFmtId="0" fontId="9" fillId="7" borderId="3" xfId="0" applyNumberFormat="1" applyFont="1" applyFill="1" applyBorder="1"/>
    <x:xf numFmtId="0" fontId="9" fillId="7" borderId="3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0" fontId="10" fillId="3" borderId="1" xfId="0" applyNumberFormat="1" applyFont="1" applyFill="1" applyBorder="1"/>
    <x:xf numFmtId="0" fontId="10" fillId="3" borderId="3" xfId="0" applyNumberFormat="1" applyFont="1" applyFill="1" applyBorder="1"/>
    <x:xf numFmtId="200" fontId="10" fillId="3" borderId="2" xfId="0" applyNumberFormat="1" applyFont="1" applyFill="1" applyBorder="1"/>
    <x:xf numFmtId="200" fontId="10" fillId="3" borderId="3" xfId="0" applyNumberFormat="1" applyFont="1" applyFill="1" applyBorder="1"/>
    <x:xf numFmtId="201" fontId="10" fillId="3" borderId="2" xfId="0" applyNumberFormat="1" applyFont="1" applyFill="1" applyBorder="1"/>
    <x:xf numFmtId="201" fontId="10" fillId="3" borderId="3" xfId="0" applyNumberFormat="1" applyFont="1" applyFill="1" applyBorder="1"/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1" xfId="0" applyNumberFormat="1" applyFont="1" applyFill="1" applyBorder="1"/>
    <x:xf numFmtId="0" fontId="11" fillId="3" borderId="3" xfId="0" applyNumberFormat="1" applyFont="1" applyFill="1" applyBorder="1"/>
    <x:xf numFmtId="200" fontId="11" fillId="3" borderId="2" xfId="0" applyNumberFormat="1" applyFont="1" applyFill="1" applyBorder="1"/>
    <x:xf numFmtId="200" fontId="11" fillId="3" borderId="3" xfId="0" applyNumberFormat="1" applyFont="1" applyFill="1" applyBorder="1"/>
    <x:xf numFmtId="201" fontId="11" fillId="3" borderId="2" xfId="0" applyNumberFormat="1" applyFont="1" applyFill="1" applyBorder="1"/>
    <x:xf numFmtId="201" fontId="11" fillId="3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5" borderId="3" xfId="0" applyNumberFormat="1" applyFont="1" applyFill="1" applyBorder="1" applyAlignment="1">
      <x:alignment horizontal="center" vertical="center"/>
    </x:xf>
    <x:xf numFmtId="200" fontId="12" fillId="5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1" fontId="12" fillId="5" borderId="2" xfId="0" applyNumberFormat="1" applyFont="1" applyFill="1" applyBorder="1" applyAlignment="1">
      <x:alignment horizontal="center" vertical="center"/>
    </x:xf>
    <x:xf numFmtId="201" fontId="12" fillId="5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4" fillId="9" borderId="2" xfId="0" applyNumberFormat="1" applyFont="1" applyFill="1" applyBorder="1" applyAlignment="1">
      <x:alignment horizontal="center" vertical="center"/>
    </x:xf>
    <x:xf numFmtId="200" fontId="12" fillId="9" borderId="2" xfId="0" applyNumberFormat="1" applyFont="1" applyFill="1" applyBorder="1" applyAlignment="1">
      <x:alignment horizontal="center" vertical="center"/>
    </x:xf>
    <x:xf numFmtId="201" fontId="12" fillId="9" borderId="2" xfId="0" applyNumberFormat="1" applyFont="1" applyFill="1" applyBorder="1" applyAlignment="1">
      <x:alignment horizontal="center" vertical="center"/>
    </x:xf>
    <x:xf numFmtId="0" fontId="4" fillId="10" borderId="2" xfId="0" applyNumberFormat="1" applyFont="1" applyFill="1" applyBorder="1" applyAlignment="1">
      <x:alignment horizontal="center" vertical="center"/>
    </x:xf>
    <x:xf numFmtId="0" fontId="12" fillId="9" borderId="2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200" fontId="12" fillId="6" borderId="2" xfId="0" applyNumberFormat="1" applyFont="1" applyFill="1" applyBorder="1" applyAlignment="1">
      <x:alignment horizontal="center" vertical="center"/>
    </x:xf>
    <x:xf numFmtId="201" fontId="12" fillId="6" borderId="2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0" fontId="1" fillId="11" borderId="2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2" fillId="12" borderId="4" xfId="0" applyNumberFormat="1" applyFont="1" applyFill="1" applyBorder="1" applyAlignment="1">
      <x:alignment vertical="top" wrapText="1"/>
    </x:xf>
    <x:xf numFmtId="0" fontId="0" fillId="12" borderId="4" xfId="0" applyNumberFormat="1" applyFont="1" applyFill="1" applyBorder="1"/>
    <x:xf numFmtId="0" fontId="13" fillId="12" borderId="4" xfId="0" applyNumberFormat="1" applyFont="1" applyFill="1" applyBorder="1" applyAlignment="1">
      <x:alignment vertical="top" wrapText="1"/>
    </x:xf>
    <x:xf numFmtId="0" fontId="14" fillId="12" borderId="4" xfId="0" applyNumberFormat="1" applyFont="1" applyFill="1" applyBorder="1"/>
    <x:xf numFmtId="0" fontId="11" fillId="3" borderId="4" xfId="0" applyNumberFormat="1" applyFont="1" applyFill="1" applyBorder="1"/>
    <x:xf numFmtId="200" fontId="11" fillId="3" borderId="4" xfId="0" applyNumberFormat="1" applyFont="1" applyFill="1" applyBorder="1"/>
    <x:xf numFmtId="201" fontId="11" fillId="3" borderId="4" xfId="0" applyNumberFormat="1" applyFont="1" applyFill="1" applyBorder="1"/>
    <x:xf numFmtId="0" fontId="11" fillId="12" borderId="4" xfId="0" applyNumberFormat="1" applyFont="1" applyFill="1" applyBorder="1"/>
    <x:xf numFmtId="200" fontId="11" fillId="12" borderId="4" xfId="0" applyNumberFormat="1" applyFont="1" applyFill="1" applyBorder="1"/>
    <x:xf numFmtId="201" fontId="11" fillId="12" borderId="4" xfId="0" applyNumberFormat="1" applyFont="1" applyFill="1" applyBorder="1"/>
    <x:xf numFmtId="0" fontId="15" fillId="12" borderId="4" xfId="0" applyNumberFormat="1" applyFont="1" applyFill="1" applyBorder="1"/>
    <x:xf numFmtId="200" fontId="15" fillId="12" borderId="4" xfId="0" applyNumberFormat="1" applyFont="1" applyFill="1" applyBorder="1"/>
    <x:xf numFmtId="201" fontId="15" fillId="12" borderId="4" xfId="0" applyNumberFormat="1" applyFont="1" applyFill="1" applyBorder="1"/>
    <x:xf numFmtId="200" fontId="14" fillId="12" borderId="4" xfId="0" applyNumberFormat="1" applyFont="1" applyFill="1" applyBorder="1"/>
    <x:xf numFmtId="201" fontId="14" fillId="12" borderId="4" xfId="0" applyNumberFormat="1" applyFont="1" applyFill="1" applyBorder="1"/>
    <x:xf numFmtId="0" fontId="9" fillId="11" borderId="2" xfId="0" applyNumberFormat="1" applyFont="1" applyFill="1" applyBorder="1" applyAlignment="1">
      <x:alignment horizontal="center"/>
    </x:xf>
    <x:xf numFmtId="0" fontId="9" fillId="11" borderId="5" xfId="0" applyNumberFormat="1" applyFont="1" applyFill="1" applyBorder="1" applyAlignment="1">
      <x:alignment horizontal="center"/>
    </x:xf>
    <x:xf numFmtId="0" fontId="2" fillId="6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/>
    <x:xf numFmtId="0" fontId="13" fillId="6" borderId="4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/>
    <x:xf numFmtId="0" fontId="11" fillId="6" borderId="4" xfId="0" applyNumberFormat="1" applyFont="1" applyFill="1" applyBorder="1"/>
    <x:xf numFmtId="200" fontId="11" fillId="6" borderId="4" xfId="0" applyNumberFormat="1" applyFont="1" applyFill="1" applyBorder="1"/>
    <x:xf numFmtId="201" fontId="11" fillId="6" borderId="4" xfId="0" applyNumberFormat="1" applyFont="1" applyFill="1" applyBorder="1"/>
    <x:xf numFmtId="0" fontId="15" fillId="6" borderId="4" xfId="0" applyNumberFormat="1" applyFont="1" applyFill="1" applyBorder="1"/>
    <x:xf numFmtId="200" fontId="15" fillId="6" borderId="4" xfId="0" applyNumberFormat="1" applyFont="1" applyFill="1" applyBorder="1"/>
    <x:xf numFmtId="201" fontId="15" fillId="6" borderId="4" xfId="0" applyNumberFormat="1" applyFont="1" applyFill="1" applyBorder="1"/>
    <x:xf numFmtId="200" fontId="14" fillId="6" borderId="4" xfId="0" applyNumberFormat="1" applyFont="1" applyFill="1" applyBorder="1"/>
    <x:xf numFmtId="201" fontId="14" fillId="6" borderId="4" xfId="0" applyNumberFormat="1" applyFont="1" applyFill="1" applyBorder="1"/>
    <x:xf numFmtId="201" fontId="8" fillId="8" borderId="2" xfId="0" applyNumberFormat="1" applyFont="1" applyFill="1" applyBorder="1" applyAlignment="1">
      <x:alignment horizontal="center" vertical="center" wrapText="1"/>
    </x:xf>
    <x:xf numFmtId="203" fontId="2" fillId="3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fd8e2c5ce4a89" /><Relationship Type="http://schemas.openxmlformats.org/officeDocument/2006/relationships/theme" Target="/xl/theme/theme1.xml" Id="R59e1e77f779d470d" /><Relationship Type="http://schemas.openxmlformats.org/officeDocument/2006/relationships/sharedStrings" Target="/xl/sharedStrings.xml" Id="Rf98fdbc8985a4285" /><Relationship Type="http://schemas.openxmlformats.org/officeDocument/2006/relationships/worksheet" Target="/xl/worksheets/sheet1.xml" Id="Rb6f1f215c5c04b73" /><Relationship Type="http://schemas.openxmlformats.org/officeDocument/2006/relationships/worksheet" Target="/xl/worksheets/sheet2.xml" Id="R2bb488ec09fa4b55" /><Relationship Type="http://schemas.openxmlformats.org/officeDocument/2006/relationships/worksheet" Target="/xl/worksheets/sheet3.xml" Id="R686413c069214cec" /><Relationship Type="http://schemas.openxmlformats.org/officeDocument/2006/relationships/worksheet" Target="/xl/worksheets/sheet4.xml" Id="R3be9644128ac413d" /><Relationship Type="http://schemas.openxmlformats.org/officeDocument/2006/relationships/worksheet" Target="/xl/worksheets/sheet5.xml" Id="Rc486463c32bd457f" /><Relationship Type="http://schemas.openxmlformats.org/officeDocument/2006/relationships/worksheet" Target="/xl/worksheets/sheet6.xml" Id="R3d35bfaf335f491b" /><Relationship Type="http://schemas.openxmlformats.org/officeDocument/2006/relationships/worksheet" Target="/xl/worksheets/sheet7.xml" Id="Rfdfccb95da6a4033" /><Relationship Type="http://schemas.openxmlformats.org/officeDocument/2006/relationships/worksheet" Target="/xl/worksheets/sheet8.xml" Id="R4cae8c70657849e9" /><Relationship Type="http://schemas.openxmlformats.org/officeDocument/2006/relationships/worksheet" Target="/xl/worksheets/sheet9.xml" Id="Rbae1d060b84b4e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81720f6b344744" /><Relationship Type="http://schemas.openxmlformats.org/officeDocument/2006/relationships/chart" Target="/xl/drawings/charts/chart2.xml" Id="Re30876d614064827" /><Relationship Type="http://schemas.openxmlformats.org/officeDocument/2006/relationships/chart" Target="/xl/drawings/charts/chart3.xml" Id="Rc4abefd7a99642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Vendor Page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Dashboard'!$A$9:$A$13</c:f>
              <c:strCache>
                <c:ptCount val="0"/>
              </c:strCache>
            </c:strRef>
          </c:cat>
          <c:val>
            <c:numRef>
              <c:f>'Color Dashboard'!$B$9:$B$13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Tax Category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Amount</c:v>
          </c:tx>
          <c:cat>
            <c:strRef>
              <c:f>'Color Dashboard'!$A$18:$A$35</c:f>
              <c:strCache>
                <c:ptCount val="0"/>
              </c:strCache>
            </c:strRef>
          </c:cat>
          <c:val>
            <c:numRef>
              <c:f>'Color Dashboard'!$B$18:$B$35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Spending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Dashboard'!$G$18:$G$29</c:f>
              <c:strCache>
                <c:ptCount val="0"/>
              </c:strCache>
            </c:strRef>
          </c:cat>
          <c:val>
            <c:numRef>
              <c:f>'Color Dashboard'!$H$18:$H$29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81720f6b344744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0876d614064827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abefd7a99642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HBH Dark Blue Gold">
  <a:themeElements>
    <a:clrScheme name="HBH Dark Blue Gold">
      <a:dk1>
        <a:srgbClr val="1F2937"/>
      </a:dk1>
      <a:lt1>
        <a:srgbClr val="FFFFFF"/>
      </a:lt1>
      <a:dk2>
        <a:srgbClr val="0E2841"/>
      </a:dk2>
      <a:lt2>
        <a:srgbClr val="F5F6F8"/>
      </a:lt2>
      <a:accent1>
        <a:srgbClr val="0B1F3A"/>
      </a:accent1>
      <a:accent2>
        <a:srgbClr val="C9A227"/>
      </a:accent2>
      <a:accent3>
        <a:srgbClr val="12345A"/>
      </a:accent3>
      <a:accent4>
        <a:srgbClr val="F5EDCF"/>
      </a:accent4>
      <a:accent5>
        <a:srgbClr val="EAF0F7"/>
      </a:accent5>
      <a:accent6>
        <a:srgbClr val="F5F6F8"/>
      </a:accent6>
      <a:hlink>
        <a:srgbClr val="12345A"/>
      </a:hlink>
      <a:folHlink>
        <a:srgbClr val="C9A227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BH Dark Blue Gol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d3a0de787ad47f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4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56" t="str">
        <x:v>Vendors / Stores</x:v>
      </x:c>
      <x:c r="B1" s="6" t="str">
        <x:v>Categories</x:v>
      </x:c>
      <x:c r="C1" s="6" t="str">
        <x:v>Payment Methods</x:v>
      </x:c>
      <x:c r="D1" s="6" t="str">
        <x:v>How to Use</x:v>
      </x:c>
      <x:c r="E1" s="6" t="str"/>
      <x:c r="F1" s="6" t="str"/>
      <x:c r="G1" s="6" t="str"/>
      <x:c r="H1" s="6" t="str"/>
    </x:row>
    <x:row r="2">
      <x:c r="A2" s="161" t="str">
        <x:v>Home Depot</x:v>
      </x:c>
      <x:c r="B2" s="16" t="str">
        <x:v>01 – Materials</x:v>
      </x:c>
      <x:c r="C2" s="16" t="str">
        <x:v>Cash</x:v>
      </x:c>
      <x:c r="D2" s="26" t="str">
        <x:v>1. Enter each receipt on the correct vendor page.</x:v>
      </x:c>
      <x:c r="E2" s="26" t="str"/>
      <x:c r="F2" s="26" t="str"/>
      <x:c r="G2" s="26" t="str"/>
      <x:c r="H2" s="26" t="str"/>
    </x:row>
    <x:row r="3">
      <x:c r="A3" s="161" t="str">
        <x:v>Lowes</x:v>
      </x:c>
      <x:c r="B3" s="16" t="str">
        <x:v>02 – Tools</x:v>
      </x:c>
      <x:c r="C3" s="16" t="str">
        <x:v>Credit Card</x:v>
      </x:c>
      <x:c r="D3" s="26" t="str">
        <x:v>2. Use only the Amount column for totals. Sales tax is not separated.</x:v>
      </x:c>
      <x:c r="E3" s="26" t="str"/>
      <x:c r="F3" s="26" t="str"/>
      <x:c r="G3" s="26" t="str"/>
      <x:c r="H3" s="26" t="str"/>
    </x:row>
    <x:row r="4">
      <x:c r="A4" s="161" t="str">
        <x:v>Amazon</x:v>
      </x:c>
      <x:c r="B4" s="16" t="str">
        <x:v>03 – Gas &amp; Mileage</x:v>
      </x:c>
      <x:c r="C4" s="16" t="str">
        <x:v>Debit Card</x:v>
      </x:c>
      <x:c r="D4" s="26" t="str">
        <x:v>3. For new stores, type the vendor name in Setup Lists and use Misc Vendors or Future Blank.</x:v>
      </x:c>
      <x:c r="E4" s="26" t="str"/>
      <x:c r="F4" s="26" t="str"/>
      <x:c r="G4" s="26" t="str"/>
      <x:c r="H4" s="26" t="str"/>
    </x:row>
    <x:row r="5">
      <x:c r="A5" s="161" t="str">
        <x:v>Misc Vendors</x:v>
      </x:c>
      <x:c r="B5" s="16" t="str">
        <x:v>04 – Tolls</x:v>
      </x:c>
      <x:c r="C5" s="16" t="str">
        <x:v>Check</x:v>
      </x:c>
      <x:c r="D5" s="26" t="str">
        <x:v>4. Category spelling must match the category list for tax totals.</x:v>
      </x:c>
      <x:c r="E5" s="26" t="str"/>
      <x:c r="F5" s="26" t="str"/>
      <x:c r="G5" s="26" t="str"/>
      <x:c r="H5" s="26" t="str"/>
    </x:row>
    <x:row r="6">
      <x:c r="A6" s="161" t="str">
        <x:v>Future Blank</x:v>
      </x:c>
      <x:c r="B6" s="16" t="str">
        <x:v>05 – Meals (Business)</x:v>
      </x:c>
      <x:c r="C6" s="16" t="str">
        <x:v>Zelle</x:v>
      </x:c>
      <x:c r="D6" s="26" t="str">
        <x:v>5. Dashboard and All Expenses Summary update from the five vendor pages.</x:v>
      </x:c>
      <x:c r="E6" s="26" t="str"/>
      <x:c r="F6" s="26" t="str"/>
      <x:c r="G6" s="26" t="str"/>
      <x:c r="H6" s="26" t="str"/>
    </x:row>
    <x:row r="7">
      <x:c r="A7" s="161"/>
      <x:c r="B7" s="16" t="str">
        <x:v>06 – Job Supplies</x:v>
      </x:c>
      <x:c r="C7" s="16" t="str">
        <x:v>Bank Transfer</x:v>
      </x:c>
      <x:c r="D7" s="26" t="str">
        <x:v>6. Apple Numbers friendly: no macros, no pivot tables, no Excel tables, no dynamic formulas.</x:v>
      </x:c>
      <x:c r="E7" s="26" t="str"/>
      <x:c r="F7" s="26" t="str"/>
      <x:c r="G7" s="26" t="str"/>
      <x:c r="H7" s="26" t="str"/>
    </x:row>
    <x:row r="8">
      <x:c r="A8" s="161"/>
      <x:c r="B8" s="16" t="str">
        <x:v>07 – Subcontractors</x:v>
      </x:c>
      <x:c r="C8" s="16" t="str">
        <x:v>Other</x:v>
      </x:c>
      <x:c r="D8" s="26" t="str"/>
      <x:c r="E8" s="26" t="str"/>
      <x:c r="F8" s="26" t="str"/>
      <x:c r="G8" s="26" t="str"/>
      <x:c r="H8" s="26" t="str"/>
    </x:row>
    <x:row r="9">
      <x:c r="A9" s="161"/>
      <x:c r="B9" s="16" t="str">
        <x:v>08 – Rental Equipment</x:v>
      </x:c>
      <x:c r="C9" s="16" t="str"/>
      <x:c r="D9" s="26" t="str">
        <x:v>Simple formulas used: SUM, SUMIF, COUNTIF, IF only.</x:v>
      </x:c>
      <x:c r="E9" s="26" t="str"/>
      <x:c r="F9" s="26" t="str"/>
      <x:c r="G9" s="26" t="str"/>
      <x:c r="H9" s="26" t="str"/>
    </x:row>
    <x:row r="10">
      <x:c r="A10" s="161"/>
      <x:c r="B10" s="16" t="str">
        <x:v>09 – Marketing &amp; Advertising</x:v>
      </x:c>
      <x:c r="C10" s="16" t="str"/>
      <x:c r="D10" s="26" t="str"/>
      <x:c r="E10" s="26" t="str"/>
      <x:c r="F10" s="26" t="str"/>
      <x:c r="G10" s="26" t="str"/>
      <x:c r="H10" s="26" t="str"/>
    </x:row>
    <x:row r="11">
      <x:c r="A11" s="161"/>
      <x:c r="B11" s="16" t="str">
        <x:v>10 – Digital Ads</x:v>
      </x:c>
      <x:c r="C11" s="16" t="str"/>
      <x:c r="D11" s="26" t="str">
        <x:v>Leave blank rows blank until you need them.</x:v>
      </x:c>
      <x:c r="E11" s="26" t="str"/>
      <x:c r="F11" s="26" t="str"/>
      <x:c r="G11" s="26" t="str"/>
      <x:c r="H11" s="26" t="str"/>
    </x:row>
    <x:row r="12">
      <x:c r="A12" s="161"/>
      <x:c r="B12" s="16" t="str">
        <x:v>11 – Website &amp; Software</x:v>
      </x:c>
      <x:c r="C12" s="16" t="str"/>
      <x:c r="D12" s="26" t="str"/>
      <x:c r="E12" s="26" t="str"/>
      <x:c r="F12" s="26" t="str"/>
      <x:c r="G12" s="26" t="str"/>
      <x:c r="H12" s="26" t="str"/>
    </x:row>
    <x:row r="13">
      <x:c r="A13" s="161"/>
      <x:c r="B13" s="16" t="str">
        <x:v>12 – Insurance</x:v>
      </x:c>
      <x:c r="C13" s="16" t="str"/>
      <x:c r="D13" t="str"/>
      <x:c r="E13" t="str"/>
      <x:c r="F13" t="str"/>
      <x:c r="G13" t="str"/>
      <x:c r="H13" t="str"/>
    </x:row>
    <x:row r="14">
      <x:c r="A14" s="161"/>
      <x:c r="B14" s="16" t="str">
        <x:v>13 – Licenses &amp; Fees</x:v>
      </x:c>
      <x:c r="C14" s="16" t="str"/>
      <x:c r="D14" t="str"/>
      <x:c r="E14" t="str"/>
      <x:c r="F14" t="str"/>
      <x:c r="G14" t="str"/>
      <x:c r="H14" t="str"/>
    </x:row>
    <x:row r="15">
      <x:c r="A15" s="161"/>
      <x:c r="B15" s="16" t="str">
        <x:v>14 – Misc Expenses</x:v>
      </x:c>
      <x:c r="C15" s="16" t="str"/>
      <x:c r="D15" t="str"/>
      <x:c r="E15" t="str"/>
      <x:c r="F15" t="str"/>
      <x:c r="G15" t="str"/>
      <x:c r="H15" t="str"/>
    </x:row>
    <x:row r="16">
      <x:c r="A16" s="161"/>
      <x:c r="B16" s="16" t="str">
        <x:v>15 – Equipment (Long-Term)</x:v>
      </x:c>
      <x:c r="C16" s="16" t="str"/>
      <x:c r="D16" t="str"/>
      <x:c r="E16" t="str"/>
      <x:c r="F16" t="str"/>
      <x:c r="G16" t="str"/>
      <x:c r="H16" t="str"/>
    </x:row>
    <x:row r="17">
      <x:c r="A17" s="161"/>
      <x:c r="B17" s="16" t="str">
        <x:v>16 – Vehicle Expenses</x:v>
      </x:c>
      <x:c r="C17" s="16" t="str"/>
      <x:c r="D17" t="str"/>
      <x:c r="E17" t="str"/>
      <x:c r="F17" t="str"/>
      <x:c r="G17" t="str"/>
      <x:c r="H17" t="str"/>
    </x:row>
    <x:row r="18">
      <x:c r="A18" s="161"/>
      <x:c r="B18" s="16" t="str">
        <x:v>17 – Home Office</x:v>
      </x:c>
      <x:c r="C18" s="16" t="str"/>
      <x:c r="D18" t="str"/>
      <x:c r="E18" t="str"/>
      <x:c r="F18" t="str"/>
      <x:c r="G18" t="str"/>
      <x:c r="H18" t="str"/>
    </x:row>
    <x:row r="19">
      <x:c r="A19" s="161"/>
      <x:c r="B19" s="16" t="str">
        <x:v>18 – Phone &amp; Internet</x:v>
      </x:c>
      <x:c r="C19" s="16" t="str"/>
      <x:c r="D19" t="str"/>
      <x:c r="E19" t="str"/>
      <x:c r="F19" t="str"/>
      <x:c r="G19" t="str"/>
      <x:c r="H19" t="str"/>
    </x:row>
    <x:row r="20">
      <x:c r="A20" s="161"/>
      <x:c r="B20" s="16" t="str"/>
      <x:c r="C20" s="16" t="str"/>
      <x:c r="D20" t="str"/>
      <x:c r="E20" t="str"/>
      <x:c r="F20" t="str"/>
      <x:c r="G20" t="str"/>
      <x:c r="H20" t="str"/>
    </x:row>
    <x:row r="21">
      <x:c r="A21" s="161"/>
      <x:c r="B21" s="16" t="str"/>
      <x:c r="C21" s="16" t="str"/>
      <x:c r="D21" t="str"/>
      <x:c r="E21" t="str"/>
      <x:c r="F21" t="str"/>
      <x:c r="G21" t="str"/>
      <x:c r="H21" t="str"/>
    </x:row>
    <x:row r="22">
      <x:c r="A22" s="161"/>
      <x:c r="B22" s="16" t="str"/>
      <x:c r="C22" s="16" t="str"/>
      <x:c r="D22" t="str"/>
      <x:c r="E22" t="str"/>
      <x:c r="F22" t="str"/>
      <x:c r="G22" t="str"/>
      <x:c r="H22" t="str"/>
    </x:row>
    <x:row r="23">
      <x:c r="A23" s="161"/>
      <x:c r="B23" s="16" t="str"/>
      <x:c r="C23" s="16" t="str"/>
      <x:c r="D23" t="str"/>
      <x:c r="E23" t="str"/>
      <x:c r="F23" t="str"/>
      <x:c r="G23" t="str"/>
      <x:c r="H23" t="str"/>
    </x:row>
    <x:row r="24">
      <x:c r="A24" s="161"/>
      <x:c r="B24" s="16" t="str"/>
      <x:c r="C24" s="16" t="str"/>
      <x:c r="D24" t="str"/>
      <x:c r="E24" t="str"/>
      <x:c r="F24" t="str"/>
      <x:c r="G24" t="str"/>
      <x:c r="H24" t="str"/>
    </x:row>
    <x:row r="25">
      <x:c r="A25" s="161"/>
      <x:c r="B25" s="16" t="str"/>
      <x:c r="C25" s="16" t="str"/>
      <x:c r="D25" t="str"/>
      <x:c r="E25" t="str"/>
      <x:c r="F25" t="str"/>
      <x:c r="G25" t="str"/>
      <x:c r="H25" t="str"/>
    </x:row>
    <x:row r="26">
      <x:c r="A26" s="161"/>
      <x:c r="B26" s="16" t="str"/>
      <x:c r="C26" s="16" t="str"/>
      <x:c r="D26" t="str"/>
      <x:c r="E26" t="str"/>
      <x:c r="F26" t="str"/>
      <x:c r="G26" t="str"/>
      <x:c r="H26" t="str"/>
    </x:row>
    <x:row r="27">
      <x:c r="A27" s="161"/>
      <x:c r="B27" s="16" t="str"/>
      <x:c r="C27" s="16" t="str"/>
      <x:c r="D27" t="str"/>
      <x:c r="E27" t="str"/>
      <x:c r="F27" t="str"/>
      <x:c r="G27" t="str"/>
      <x:c r="H27" t="str"/>
    </x:row>
    <x:row r="28">
      <x:c r="A28" s="161"/>
      <x:c r="B28" s="16" t="str"/>
      <x:c r="C28" s="16" t="str"/>
      <x:c r="D28" t="str"/>
      <x:c r="E28" t="str"/>
      <x:c r="F28" t="str"/>
      <x:c r="G28" t="str"/>
      <x:c r="H28" t="str"/>
    </x:row>
    <x:row r="29">
      <x:c r="A29" s="161"/>
      <x:c r="B29" s="16" t="str"/>
      <x:c r="C29" s="16" t="str"/>
      <x:c r="D29" t="str"/>
      <x:c r="E29" t="str"/>
      <x:c r="F29" t="str"/>
      <x:c r="G29" t="str"/>
      <x:c r="H29" t="str"/>
    </x:row>
    <x:row r="30">
      <x:c r="A30" s="161"/>
      <x:c r="B30" s="16" t="str"/>
      <x:c r="C30" s="16" t="str"/>
      <x:c r="D30" t="str"/>
      <x:c r="E30" t="str"/>
      <x:c r="F30" t="str"/>
      <x:c r="G30" t="str"/>
      <x:c r="H30" t="str"/>
    </x:row>
    <x:row r="31">
      <x:c r="A31" s="161"/>
      <x:c r="B31" s="16" t="str"/>
      <x:c r="C31" s="16" t="str"/>
      <x:c r="D31" t="str"/>
      <x:c r="E31" t="str"/>
      <x:c r="F31" t="str"/>
      <x:c r="G31" t="str"/>
      <x:c r="H31" t="str"/>
    </x:row>
    <x:row r="32">
      <x:c r="A32" s="161"/>
      <x:c r="B32" s="16" t="str"/>
      <x:c r="C32" s="16" t="str"/>
      <x:c r="D32" t="str"/>
      <x:c r="E32" t="str"/>
      <x:c r="F32" t="str"/>
      <x:c r="G32" t="str"/>
      <x:c r="H32" t="str"/>
    </x:row>
    <x:row r="33">
      <x:c r="A33" s="161"/>
      <x:c r="B33" s="16" t="str"/>
      <x:c r="C33" s="16" t="str"/>
      <x:c r="D33" t="str"/>
      <x:c r="E33" t="str"/>
      <x:c r="F33" t="str"/>
      <x:c r="G33" t="str"/>
      <x:c r="H33" t="str"/>
    </x:row>
    <x:row r="34">
      <x:c r="A34" s="161"/>
      <x:c r="B34" s="16" t="str"/>
      <x:c r="C34" s="16" t="str"/>
      <x:c r="D34" t="str"/>
      <x:c r="E34" t="str"/>
      <x:c r="F34" t="str"/>
      <x:c r="G34" t="str"/>
      <x:c r="H34" t="str"/>
    </x:row>
    <x:row r="35">
      <x:c r="A35" s="161"/>
      <x:c r="B35" s="16" t="str"/>
      <x:c r="C35" s="16" t="str"/>
      <x:c r="D35" t="str"/>
      <x:c r="E35" t="str"/>
      <x:c r="F35" t="str"/>
      <x:c r="G35" t="str"/>
      <x:c r="H35" t="str"/>
    </x:row>
    <x:row r="36">
      <x:c r="A36" s="161"/>
      <x:c r="B36" s="16" t="str"/>
      <x:c r="C36" s="16" t="str"/>
      <x:c r="D36" t="str"/>
      <x:c r="E36" t="str"/>
      <x:c r="F36" t="str"/>
      <x:c r="G36" t="str"/>
      <x:c r="H36" t="str"/>
    </x:row>
    <x:row r="37">
      <x:c r="A37" s="161"/>
      <x:c r="B37" s="16" t="str"/>
      <x:c r="C37" s="16" t="str"/>
      <x:c r="D37" t="str"/>
      <x:c r="E37" t="str"/>
      <x:c r="F37" t="str"/>
      <x:c r="G37" t="str"/>
      <x:c r="H37" t="str"/>
    </x:row>
    <x:row r="38">
      <x:c r="A38" s="161"/>
      <x:c r="B38" s="16" t="str"/>
      <x:c r="C38" s="16" t="str"/>
      <x:c r="D38" t="str"/>
      <x:c r="E38" t="str"/>
      <x:c r="F38" t="str"/>
      <x:c r="G38" t="str"/>
      <x:c r="H38" t="str"/>
    </x:row>
    <x:row r="39">
      <x:c r="A39" s="161"/>
      <x:c r="B39" s="16" t="str"/>
      <x:c r="C39" s="16" t="str"/>
      <x:c r="D39" t="str"/>
      <x:c r="E39" t="str"/>
      <x:c r="F39" t="str"/>
      <x:c r="G39" t="str"/>
      <x:c r="H39" t="str"/>
    </x:row>
    <x:row r="40">
      <x:c r="A40" s="161"/>
      <x:c r="B40" s="16" t="str"/>
      <x:c r="C40" s="16" t="str"/>
      <x:c r="D40" t="str"/>
      <x:c r="E40" t="str"/>
      <x:c r="F40" t="str"/>
      <x:c r="G40" t="str"/>
      <x:c r="H40" t="str"/>
    </x:row>
    <x:row r="41">
      <x:c r="A41" s="161"/>
      <x:c r="B41" s="16" t="str"/>
      <x:c r="C41" s="16" t="str"/>
      <x:c r="D41" t="str"/>
      <x:c r="E41" t="str"/>
      <x:c r="F41" t="str"/>
      <x:c r="G41" t="str"/>
      <x:c r="H41" t="str"/>
    </x:row>
    <x:row r="42">
      <x:c r="A42" s="161"/>
      <x:c r="B42" s="16" t="str"/>
      <x:c r="C42" s="16" t="str"/>
      <x:c r="D42" t="str"/>
      <x:c r="E42" t="str"/>
      <x:c r="F42" t="str"/>
      <x:c r="G42" t="str"/>
      <x:c r="H42" t="str"/>
    </x:row>
    <x:row r="43">
      <x:c r="A43" s="161"/>
      <x:c r="B43" s="16" t="str"/>
      <x:c r="C43" s="16" t="str"/>
      <x:c r="D43" t="str"/>
      <x:c r="E43" t="str"/>
      <x:c r="F43" t="str"/>
      <x:c r="G43" t="str"/>
      <x:c r="H43" t="str"/>
    </x:row>
    <x:row r="44">
      <x:c r="A44" s="161"/>
      <x:c r="B44" s="16" t="str"/>
      <x:c r="C44" s="16" t="str"/>
      <x:c r="D44" t="str"/>
      <x:c r="E44" t="str"/>
      <x:c r="F44" t="str"/>
      <x:c r="G44" t="str"/>
      <x:c r="H44" t="str"/>
    </x:row>
    <x:row r="45">
      <x:c r="A45" s="161"/>
      <x:c r="B45" s="16" t="str"/>
      <x:c r="C45" s="16" t="str"/>
      <x:c r="D45" t="str"/>
      <x:c r="E45" t="str"/>
      <x:c r="F45" t="str"/>
      <x:c r="G45" t="str"/>
      <x:c r="H45" t="str"/>
    </x:row>
    <x:row r="46">
      <x:c r="A46" s="161"/>
      <x:c r="B46" s="16" t="str"/>
      <x:c r="C46" s="16" t="str"/>
      <x:c r="D46" t="str"/>
      <x:c r="E46" t="str"/>
      <x:c r="F46" t="str"/>
      <x:c r="G46" t="str"/>
      <x:c r="H46" t="str"/>
    </x:row>
    <x:row r="47">
      <x:c r="A47" s="161"/>
      <x:c r="B47" s="16" t="str"/>
      <x:c r="C47" s="16" t="str"/>
      <x:c r="D47" t="str"/>
      <x:c r="E47" t="str"/>
      <x:c r="F47" t="str"/>
      <x:c r="G47" t="str"/>
      <x:c r="H47" t="str"/>
    </x:row>
    <x:row r="48">
      <x:c r="A48" s="161"/>
      <x:c r="B48" s="16" t="str"/>
      <x:c r="C48" s="16" t="str"/>
      <x:c r="D48" t="str"/>
      <x:c r="E48" t="str"/>
      <x:c r="F48" t="str"/>
      <x:c r="G48" t="str"/>
      <x:c r="H48" t="str"/>
    </x:row>
    <x:row r="49">
      <x:c r="A49" s="161"/>
      <x:c r="B49" s="16" t="str"/>
      <x:c r="C49" s="16" t="str"/>
      <x:c r="D49" t="str"/>
      <x:c r="E49" t="str"/>
      <x:c r="F49" t="str"/>
      <x:c r="G49" t="str"/>
      <x:c r="H49" t="str"/>
    </x:row>
    <x:row r="50">
      <x:c r="A50" s="161"/>
      <x:c r="B50" s="16" t="str"/>
      <x:c r="C50" s="16" t="str"/>
      <x:c r="D50" t="str"/>
      <x:c r="E50" t="str"/>
      <x:c r="F50" t="str"/>
      <x:c r="G50" t="str"/>
      <x:c r="H50" t="str"/>
    </x:row>
    <x:row r="51">
      <x:c r="A51" s="161"/>
      <x:c r="B51" s="16" t="str"/>
      <x:c r="C51" s="16" t="str"/>
      <x:c r="D51" t="str"/>
      <x:c r="E51" t="str"/>
      <x:c r="F51" t="str"/>
      <x:c r="G51" t="str"/>
      <x:c r="H51" t="str"/>
    </x:row>
    <x:row r="52">
      <x:c r="A52" s="162"/>
    </x:row>
    <x:row r="53">
      <x:c r="A53" s="162"/>
    </x:row>
    <x:row r="54">
      <x:c r="A54" s="162"/>
    </x:row>
    <x:row r="55">
      <x:c r="A55" s="162"/>
    </x:row>
    <x:row r="56">
      <x:c r="A56" s="162"/>
    </x:row>
    <x:row r="57">
      <x:c r="A57" s="162"/>
    </x:row>
    <x:row r="58">
      <x:c r="A58" s="162"/>
    </x:row>
    <x:row r="59">
      <x:c r="A59" s="162"/>
    </x:row>
    <x:row r="60">
      <x:c r="A60" s="162"/>
    </x:row>
    <x:row r="61">
      <x:c r="A61" s="162"/>
    </x:row>
    <x:row r="62">
      <x:c r="A62" s="162"/>
    </x:row>
    <x:row r="63">
      <x:c r="A63" s="162"/>
    </x:row>
    <x:row r="64">
      <x:c r="A64" s="162"/>
    </x:row>
    <x:row r="65">
      <x:c r="A65" s="162"/>
    </x:row>
    <x:row r="66">
      <x:c r="A66" s="162"/>
    </x:row>
    <x:row r="67">
      <x:c r="A67" s="162"/>
    </x:row>
    <x:row r="68">
      <x:c r="A68" s="162"/>
    </x:row>
    <x:row r="69">
      <x:c r="A69" s="162"/>
    </x:row>
    <x:row r="70">
      <x:c r="A70" s="162"/>
    </x:row>
    <x:row r="71">
      <x:c r="A71" s="162"/>
    </x:row>
    <x:row r="72">
      <x:c r="A72" s="162"/>
    </x:row>
    <x:row r="73">
      <x:c r="A73" s="162"/>
    </x:row>
    <x:row r="74">
      <x:c r="A74" s="162"/>
    </x:row>
    <x:row r="75">
      <x:c r="A75" s="162"/>
    </x:row>
    <x:row r="76">
      <x:c r="A76" s="162"/>
    </x:row>
    <x:row r="77">
      <x:c r="A77" s="162"/>
    </x:row>
    <x:row r="78">
      <x:c r="A78" s="162"/>
    </x:row>
    <x:row r="79">
      <x:c r="A79" s="162"/>
    </x:row>
    <x:row r="80">
      <x:c r="A80" s="162"/>
    </x:row>
    <x:row r="81">
      <x:c r="A81" s="162"/>
    </x:row>
    <x:row r="82">
      <x:c r="A82" s="162"/>
    </x:row>
    <x:row r="83">
      <x:c r="A83" s="162"/>
    </x:row>
    <x:row r="84">
      <x:c r="A84" s="162"/>
    </x:row>
    <x:row r="85">
      <x:c r="A85" s="162"/>
    </x:row>
    <x:row r="86">
      <x:c r="A86" s="162"/>
    </x:row>
    <x:row r="87">
      <x:c r="A87" s="162"/>
    </x:row>
    <x:row r="88">
      <x:c r="A88" s="162"/>
    </x:row>
    <x:row r="89">
      <x:c r="A89" s="162"/>
    </x:row>
    <x:row r="90">
      <x:c r="A90" s="162"/>
    </x:row>
    <x:row r="91">
      <x:c r="A91" s="162"/>
    </x:row>
    <x:row r="92">
      <x:c r="A92" s="162"/>
    </x:row>
    <x:row r="93">
      <x:c r="A93" s="162"/>
    </x:row>
    <x:row r="94">
      <x:c r="A94" s="162"/>
    </x:row>
    <x:row r="95">
      <x:c r="A95" s="162"/>
    </x:row>
    <x:row r="96">
      <x:c r="A96" s="162"/>
    </x:row>
    <x:row r="97">
      <x:c r="A97" s="162"/>
    </x:row>
    <x:row r="98">
      <x:c r="A98" s="162"/>
    </x:row>
    <x:row r="99">
      <x:c r="A99" s="162"/>
    </x:row>
    <x:row r="100">
      <x:c r="A100" s="162"/>
    </x:row>
    <x:row r="101">
      <x:c r="A101" s="162"/>
    </x:row>
    <x:row r="102">
      <x:c r="A102" s="162"/>
    </x:row>
    <x:row r="103">
      <x:c r="A103" s="162"/>
    </x:row>
    <x:row r="104">
      <x:c r="A104" s="162"/>
    </x:row>
    <x:row r="105">
      <x:c r="A105" s="162"/>
    </x:row>
    <x:row r="106">
      <x:c r="A106" s="162"/>
    </x:row>
    <x:row r="107">
      <x:c r="A107" s="162"/>
    </x:row>
    <x:row r="108">
      <x:c r="A108" s="162"/>
    </x:row>
    <x:row r="109">
      <x:c r="A109" s="162"/>
    </x:row>
    <x:row r="110">
      <x:c r="A110" s="162"/>
    </x:row>
    <x:row r="111">
      <x:c r="A111" s="162"/>
    </x:row>
    <x:row r="112">
      <x:c r="A112" s="162"/>
    </x:row>
    <x:row r="113">
      <x:c r="A113" s="162"/>
    </x:row>
    <x:row r="114">
      <x:c r="A114" s="162"/>
    </x:row>
    <x:row r="115">
      <x:c r="A115" s="162"/>
    </x:row>
    <x:row r="116">
      <x:c r="A116" s="162"/>
    </x:row>
    <x:row r="117">
      <x:c r="A117" s="162"/>
    </x:row>
    <x:row r="118">
      <x:c r="A118" s="162"/>
    </x:row>
    <x:row r="119">
      <x:c r="A119" s="162"/>
    </x:row>
    <x:row r="120">
      <x:c r="A120" s="162"/>
    </x:row>
    <x:row r="121">
      <x:c r="A121" s="162"/>
    </x:row>
    <x:row r="122">
      <x:c r="A122" s="162"/>
    </x:row>
    <x:row r="123">
      <x:c r="A123" s="162"/>
    </x:row>
    <x:row r="124">
      <x:c r="A124" s="162"/>
    </x:row>
    <x:row r="125">
      <x:c r="A125" s="162"/>
    </x:row>
    <x:row r="126">
      <x:c r="A126" s="162"/>
    </x:row>
    <x:row r="127">
      <x:c r="A127" s="162"/>
    </x:row>
    <x:row r="128">
      <x:c r="A128" s="162"/>
    </x:row>
    <x:row r="129">
      <x:c r="A129" s="162"/>
    </x:row>
    <x:row r="130">
      <x:c r="A130" s="162"/>
    </x:row>
    <x:row r="131">
      <x:c r="A131" s="162"/>
    </x:row>
    <x:row r="132">
      <x:c r="A132" s="162"/>
    </x:row>
    <x:row r="133">
      <x:c r="A133" s="162"/>
    </x:row>
    <x:row r="134">
      <x:c r="A134" s="162"/>
    </x:row>
    <x:row r="135">
      <x:c r="A135" s="162"/>
    </x:row>
    <x:row r="136">
      <x:c r="A136" s="162"/>
    </x:row>
    <x:row r="137">
      <x:c r="A137" s="162"/>
    </x:row>
    <x:row r="138">
      <x:c r="A138" s="162"/>
    </x:row>
    <x:row r="139">
      <x:c r="A139" s="162"/>
    </x:row>
    <x:row r="140">
      <x:c r="A140" s="162"/>
    </x:row>
    <x:row r="141">
      <x:c r="A141" s="162"/>
    </x:row>
    <x:row r="142">
      <x:c r="A142" s="162"/>
    </x:row>
    <x:row r="143">
      <x:c r="A143" s="162"/>
    </x:row>
    <x:row r="144">
      <x:c r="A144" s="162"/>
    </x:row>
    <x:row r="145">
      <x:c r="A145" s="162"/>
    </x:row>
    <x:row r="146">
      <x:c r="A146" s="162"/>
    </x:row>
    <x:row r="147">
      <x:c r="A147" s="162"/>
    </x:row>
    <x:row r="148">
      <x:c r="A148" s="162"/>
    </x:row>
    <x:row r="149">
      <x:c r="A149" s="162"/>
    </x:row>
    <x:row r="150">
      <x:c r="A150" s="162"/>
    </x:row>
    <x:row r="151">
      <x:c r="A151" s="162"/>
    </x:row>
    <x:row r="152">
      <x:c r="A152" s="162"/>
    </x:row>
    <x:row r="153">
      <x:c r="A153" s="162"/>
    </x:row>
    <x:row r="154">
      <x:c r="A154" s="162"/>
    </x:row>
    <x:row r="155">
      <x:c r="A155" s="162"/>
    </x:row>
    <x:row r="156">
      <x:c r="A156" s="162"/>
    </x:row>
    <x:row r="157">
      <x:c r="A157" s="162"/>
    </x:row>
    <x:row r="158">
      <x:c r="A158" s="162"/>
    </x:row>
    <x:row r="159">
      <x:c r="A159" s="162"/>
    </x:row>
    <x:row r="160">
      <x:c r="A160" s="162"/>
    </x:row>
    <x:row r="161">
      <x:c r="A161" s="162"/>
    </x:row>
    <x:row r="162">
      <x:c r="A162" s="162"/>
    </x:row>
    <x:row r="163">
      <x:c r="A163" s="162"/>
    </x:row>
    <x:row r="164">
      <x:c r="A164" s="162"/>
    </x:row>
    <x:row r="165">
      <x:c r="A165" s="162"/>
    </x:row>
    <x:row r="166">
      <x:c r="A166" s="162"/>
    </x:row>
    <x:row r="167">
      <x:c r="A167" s="162"/>
    </x:row>
    <x:row r="168">
      <x:c r="A168" s="162"/>
    </x:row>
    <x:row r="169">
      <x:c r="A169" s="162"/>
    </x:row>
    <x:row r="170">
      <x:c r="A170" s="162"/>
    </x:row>
    <x:row r="171">
      <x:c r="A171" s="162"/>
    </x:row>
    <x:row r="172">
      <x:c r="A172" s="162"/>
    </x:row>
    <x:row r="173">
      <x:c r="A173" s="162"/>
    </x:row>
    <x:row r="174">
      <x:c r="A174" s="162"/>
    </x:row>
    <x:row r="175">
      <x:c r="A175" s="162"/>
    </x:row>
    <x:row r="176">
      <x:c r="A176" s="162"/>
    </x:row>
    <x:row r="177">
      <x:c r="A177" s="162"/>
    </x:row>
    <x:row r="178">
      <x:c r="A178" s="162"/>
    </x:row>
    <x:row r="179">
      <x:c r="A179" s="162"/>
    </x:row>
    <x:row r="180">
      <x:c r="A180" s="162"/>
    </x:row>
    <x:row r="181">
      <x:c r="A181" s="162"/>
    </x:row>
    <x:row r="182">
      <x:c r="A182" s="162"/>
    </x:row>
    <x:row r="183">
      <x:c r="A183" s="162"/>
    </x:row>
    <x:row r="184">
      <x:c r="A184" s="162"/>
    </x:row>
    <x:row r="185">
      <x:c r="A185" s="162"/>
    </x:row>
    <x:row r="186">
      <x:c r="A186" s="162"/>
    </x:row>
    <x:row r="187">
      <x:c r="A187" s="162"/>
    </x:row>
    <x:row r="188">
      <x:c r="A188" s="162"/>
    </x:row>
    <x:row r="189">
      <x:c r="A189" s="162"/>
    </x:row>
    <x:row r="190">
      <x:c r="A190" s="162"/>
    </x:row>
    <x:row r="191">
      <x:c r="A191" s="162"/>
    </x:row>
    <x:row r="192">
      <x:c r="A192" s="162"/>
    </x:row>
    <x:row r="193">
      <x:c r="A193" s="162"/>
    </x:row>
    <x:row r="194">
      <x:c r="A194" s="162"/>
    </x:row>
    <x:row r="195">
      <x:c r="A195" s="162"/>
    </x:row>
    <x:row r="196">
      <x:c r="A196" s="162"/>
    </x:row>
    <x:row r="197">
      <x:c r="A197" s="162"/>
    </x:row>
    <x:row r="198">
      <x:c r="A198" s="162"/>
    </x:row>
    <x:row r="199">
      <x:c r="A199" s="162"/>
    </x:row>
    <x:row r="200">
      <x:c r="A200" s="162"/>
    </x:row>
    <x:row r="201">
      <x:c r="A201" s="162"/>
    </x:row>
  </x:sheetData>
  <x:mergeCells>
    <x:mergeCell ref="D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Home Depot Receipts</x:v>
      </x:c>
      <x:c r="B1" t="str">
        <x:v>Hammer Brick &amp; Home LLC - Home Depot Receipts</x:v>
      </x:c>
      <x:c r="C1" t="str">
        <x:v>Hammer Brick &amp; Home LLC - Home Depot Receipts</x:v>
      </x:c>
      <x:c r="D1" t="str">
        <x:v>Hammer Brick &amp; Home LLC - Home Depot Receipts</x:v>
      </x:c>
      <x:c r="E1" t="str">
        <x:v>Hammer Brick &amp; Home LLC - Home Depot Receipts</x:v>
      </x:c>
      <x:c r="F1" t="str">
        <x:v>Hammer Brick &amp; Home LLC - Home Depot Receipts</x:v>
      </x:c>
      <x:c r="G1" t="str">
        <x:v>Hammer Brick &amp; Home LLC - Home Depot Receipts</x:v>
      </x:c>
      <x:c r="H1" t="str">
        <x:v>Hammer Brick &amp; Home LLC - Home Depot Receipts</x:v>
      </x:c>
      <x:c r="I1" t="str">
        <x:v>Hammer Brick &amp; Home LLC - Home Depot Receipts</x:v>
      </x:c>
      <x:c r="J1" t="str">
        <x:v>Hammer Brick &amp; Home LLC - Home Depot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18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18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18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18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18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18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18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18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18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18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18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18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18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18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18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18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18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18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18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18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18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18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18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18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18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18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18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18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18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18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18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18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18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18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18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18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18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18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18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18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18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18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18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18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18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18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18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18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18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18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18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18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18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18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18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18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18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18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18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18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18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18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18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18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18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18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18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18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18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18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18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18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18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18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18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18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18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18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18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18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18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18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18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18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18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18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18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18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18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18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18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18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18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18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18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18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18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18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18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18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18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18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18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18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18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18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18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18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18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18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18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18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18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18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18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18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18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18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18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18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18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18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18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18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18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18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18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18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18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18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18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18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18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18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18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18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18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18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18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18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18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18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18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18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18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18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18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18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18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18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18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18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18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18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18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18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18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18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18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18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18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18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18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18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18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18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18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18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18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18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18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18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18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18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18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18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18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18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18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18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18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18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18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18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18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18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18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18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18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18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18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18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18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18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18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18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18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18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18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18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18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18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18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18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18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18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18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18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18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18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18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18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18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18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18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18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18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18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18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18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18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18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18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18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18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18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18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18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18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18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18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18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18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18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18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18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18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18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18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18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18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18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18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18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18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18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18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18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18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18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18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18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18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18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18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18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18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18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18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18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18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18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18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18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18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18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18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18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18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18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18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18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18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18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18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18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18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18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18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18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18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18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18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18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18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18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18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18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18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18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18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18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18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18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18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18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18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18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18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18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18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18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18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18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18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18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18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18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18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18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18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18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18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18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18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18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18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18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18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18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18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18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18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18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18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18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18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18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18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18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18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18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18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18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18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18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18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18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18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18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18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18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18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18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18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18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18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18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18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18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18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18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18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18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18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18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18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18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18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18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18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18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18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18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18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18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18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18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18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18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18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18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18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18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18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18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18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18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18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18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18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18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18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18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18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18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18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18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18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18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18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18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18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18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18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18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18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18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18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18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18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18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18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18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18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18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18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18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18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18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18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18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18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18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18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18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18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18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18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18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18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18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18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18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18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18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18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18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18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18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18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18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18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18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18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18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18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18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18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18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18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18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18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18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18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18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18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18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18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18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18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18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18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18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18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18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18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18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18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18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18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18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18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18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18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18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18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18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18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18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18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18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18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18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18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18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18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18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18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18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18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18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18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18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18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18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18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18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18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18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18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18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18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18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18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18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18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18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18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18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18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18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18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18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18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18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18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18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18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18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18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18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18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18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18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18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18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18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18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18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18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18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18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18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18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18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18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18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18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18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18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18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18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18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18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18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18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18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18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18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18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18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18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18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18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18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18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18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18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18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18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18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18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18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18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18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18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18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18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18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18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18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18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18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18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18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18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18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18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18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18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18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18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18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18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18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18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18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18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18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18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18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18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18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18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18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18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18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18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18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18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18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18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18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18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18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18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18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18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18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18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18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18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18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18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18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18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18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18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18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18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18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18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18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18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18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18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18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18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18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18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18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18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18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18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18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18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18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18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18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18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18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18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18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18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18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18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18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18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18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18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18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18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18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18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18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18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18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18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18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18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18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18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18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18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18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18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18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18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18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18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18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18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18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18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18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18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18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18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18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18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18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18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18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18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18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18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18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18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18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18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18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18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18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18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18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18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18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18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18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18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18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18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18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18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18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18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18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18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18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18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18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18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18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18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18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18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18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18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18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18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18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18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18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18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18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18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18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18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18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18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18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18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18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18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18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18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18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18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18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18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18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18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18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18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18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18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18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18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18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18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18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18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18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18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18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18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18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18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18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18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18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18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18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18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18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18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18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18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18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18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18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18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18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18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18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18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18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18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18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18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18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18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18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18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18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18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18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18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18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18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18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18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18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18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18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18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18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18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18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18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18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18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18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18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18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18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18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18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18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18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18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18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18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18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18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18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18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18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18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18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18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18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18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18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18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18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18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18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18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18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18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18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18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18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18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18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18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18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18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18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18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18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18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18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18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18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18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18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18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18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18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18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18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18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18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18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18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18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18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18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18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18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18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18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18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18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18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18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18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18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18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18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18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18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18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18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18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18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18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18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18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18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18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18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18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18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18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18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18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18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18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18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18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18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18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18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18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18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18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18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18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18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18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18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18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18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18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18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18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18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18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18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18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18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18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18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18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18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18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18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18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18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18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18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18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18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18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18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18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18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18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18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18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18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18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18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18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18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18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18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18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18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18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18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18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18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18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18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18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18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18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18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18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18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18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18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18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18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18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18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18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18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18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18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18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18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18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18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18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18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18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18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18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18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18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18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18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18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18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18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18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18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18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18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18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18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18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18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18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18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18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18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18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18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18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18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18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18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18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18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18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18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18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18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18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18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18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18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18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Lowes Receipts</x:v>
      </x:c>
      <x:c r="B1" t="str">
        <x:v>Hammer Brick &amp; Home LLC - Lowes Receipts</x:v>
      </x:c>
      <x:c r="C1" t="str">
        <x:v>Hammer Brick &amp; Home LLC - Lowes Receipts</x:v>
      </x:c>
      <x:c r="D1" t="str">
        <x:v>Hammer Brick &amp; Home LLC - Lowes Receipts</x:v>
      </x:c>
      <x:c r="E1" t="str">
        <x:v>Hammer Brick &amp; Home LLC - Lowes Receipts</x:v>
      </x:c>
      <x:c r="F1" t="str">
        <x:v>Hammer Brick &amp; Home LLC - Lowes Receipts</x:v>
      </x:c>
      <x:c r="G1" t="str">
        <x:v>Hammer Brick &amp; Home LLC - Lowes Receipts</x:v>
      </x:c>
      <x:c r="H1" t="str">
        <x:v>Hammer Brick &amp; Home LLC - Lowes Receipts</x:v>
      </x:c>
      <x:c r="I1" t="str">
        <x:v>Hammer Brick &amp; Home LLC - Lowes Receipts</x:v>
      </x:c>
      <x:c r="J1" t="str">
        <x:v>Hammer Brick &amp; Home LLC - Lowes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Amazon Receipts</x:v>
      </x:c>
      <x:c r="B1" t="str">
        <x:v>Hammer Brick &amp; Home LLC - Amazon Receipts</x:v>
      </x:c>
      <x:c r="C1" t="str">
        <x:v>Hammer Brick &amp; Home LLC - Amazon Receipts</x:v>
      </x:c>
      <x:c r="D1" t="str">
        <x:v>Hammer Brick &amp; Home LLC - Amazon Receipts</x:v>
      </x:c>
      <x:c r="E1" t="str">
        <x:v>Hammer Brick &amp; Home LLC - Amazon Receipts</x:v>
      </x:c>
      <x:c r="F1" t="str">
        <x:v>Hammer Brick &amp; Home LLC - Amazon Receipts</x:v>
      </x:c>
      <x:c r="G1" t="str">
        <x:v>Hammer Brick &amp; Home LLC - Amazon Receipts</x:v>
      </x:c>
      <x:c r="H1" t="str">
        <x:v>Hammer Brick &amp; Home LLC - Amazon Receipts</x:v>
      </x:c>
      <x:c r="I1" t="str">
        <x:v>Hammer Brick &amp; Home LLC - Amazon Receipts</x:v>
      </x:c>
      <x:c r="J1" t="str">
        <x:v>Hammer Brick &amp; Home LLC - Amazon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Misc Vendors Receipts</x:v>
      </x:c>
      <x:c r="B1" t="str">
        <x:v>Hammer Brick &amp; Home LLC - Misc Vendors Receipts</x:v>
      </x:c>
      <x:c r="C1" t="str">
        <x:v>Hammer Brick &amp; Home LLC - Misc Vendors Receipts</x:v>
      </x:c>
      <x:c r="D1" t="str">
        <x:v>Hammer Brick &amp; Home LLC - Misc Vendors Receipts</x:v>
      </x:c>
      <x:c r="E1" t="str">
        <x:v>Hammer Brick &amp; Home LLC - Misc Vendors Receipts</x:v>
      </x:c>
      <x:c r="F1" t="str">
        <x:v>Hammer Brick &amp; Home LLC - Misc Vendors Receipts</x:v>
      </x:c>
      <x:c r="G1" t="str">
        <x:v>Hammer Brick &amp; Home LLC - Misc Vendors Receipts</x:v>
      </x:c>
      <x:c r="H1" t="str">
        <x:v>Hammer Brick &amp; Home LLC - Misc Vendors Receipts</x:v>
      </x:c>
      <x:c r="I1" t="str">
        <x:v>Hammer Brick &amp; Home LLC - Misc Vendors Receipts</x:v>
      </x:c>
      <x:c r="J1" t="str">
        <x:v>Hammer Brick &amp; Home LLC - Misc Vendors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Future Blank Receipts</x:v>
      </x:c>
      <x:c r="B1" t="str">
        <x:v>Hammer Brick &amp; Home LLC - Future Blank Receipts</x:v>
      </x:c>
      <x:c r="C1" t="str">
        <x:v>Hammer Brick &amp; Home LLC - Future Blank Receipts</x:v>
      </x:c>
      <x:c r="D1" t="str">
        <x:v>Hammer Brick &amp; Home LLC - Future Blank Receipts</x:v>
      </x:c>
      <x:c r="E1" t="str">
        <x:v>Hammer Brick &amp; Home LLC - Future Blank Receipts</x:v>
      </x:c>
      <x:c r="F1" t="str">
        <x:v>Hammer Brick &amp; Home LLC - Future Blank Receipts</x:v>
      </x:c>
      <x:c r="G1" t="str">
        <x:v>Hammer Brick &amp; Home LLC - Future Blank Receipts</x:v>
      </x:c>
      <x:c r="H1" t="str">
        <x:v>Hammer Brick &amp; Home LLC - Future Blank Receipts</x:v>
      </x:c>
      <x:c r="I1" t="str">
        <x:v>Hammer Brick &amp; Home LLC - Future Blank Receipts</x:v>
      </x:c>
      <x:c r="J1" t="str">
        <x:v>Hammer Brick &amp; Home LLC - Future Blank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4" hidden="0" customWidth="1"/>
    <x:col min="5" max="5" width="32" hidden="0" customWidth="1"/>
    <x:col min="6" max="6" width="14" hidden="0" customWidth="1"/>
    <x:col min="7" max="7" width="14" hidden="0" customWidth="1"/>
    <x:col min="8" max="8" width="4" hidden="0" customWidth="1"/>
  </x:cols>
  <x:sheetData>
    <x:row r="1" ht="32" customHeight="1">
      <x:c r="A1" s="34" t="str">
        <x:v>Hammer Brick &amp; Home LLC - All Expenses Summary for Tax / Bookkeeper</x:v>
      </x:c>
      <x:c r="B1" t="str">
        <x:v>Hammer Brick &amp; Home LLC - All Expenses Summary for Tax / Bookkeeper</x:v>
      </x:c>
      <x:c r="C1" t="str">
        <x:v>Hammer Brick &amp; Home LLC - All Expenses Summary for Tax / Bookkeeper</x:v>
      </x:c>
      <x:c r="D1" t="str">
        <x:v>Hammer Brick &amp; Home LLC - All Expenses Summary for Tax / Bookkeeper</x:v>
      </x:c>
      <x:c r="E1" t="str">
        <x:v>Hammer Brick &amp; Home LLC - All Expenses Summary for Tax / Bookkeeper</x:v>
      </x:c>
      <x:c r="F1" t="str">
        <x:v>Hammer Brick &amp; Home LLC - All Expenses Summary for Tax / Bookkeeper</x:v>
      </x:c>
      <x:c r="G1" t="str">
        <x:v>Hammer Brick &amp; Home LLC - All Expenses Summary for Tax / Bookkeeper</x:v>
      </x:c>
      <x:c r="H1" t="str">
        <x:v>Hammer Brick &amp; Home LLC - All Expenses Summary for Tax / Bookkeeper</x:v>
      </x:c>
    </x:row>
    <x:row r="2">
      <x:c r="A2" s="77" t="str">
        <x:v>This page totals all 5 vendor pages. Enter receipts only on the vendor pages; this page updates with basic Apple-friendly formulas.</x:v>
      </x:c>
      <x:c r="B2" s="77"/>
      <x:c r="C2" s="77"/>
      <x:c r="D2" s="77"/>
      <x:c r="E2" s="77"/>
      <x:c r="F2" s="77"/>
      <x:c r="G2" s="77"/>
      <x:c r="H2" s="77"/>
    </x:row>
    <x:row r="4">
      <x:c r="A4" s="107" t="str">
        <x:v>Grand Total Expenses</x:v>
      </x:c>
      <x:c r="B4" s="110" t="n">
        <x:f>B10+B11+B12+B13+B14</x:f>
        <x:v>0</x:v>
      </x:c>
      <x:c r="E4" s="116" t="str">
        <x:v>Tax Category Totals</x:v>
      </x:c>
      <x:c r="F4" s="116" t="str">
        <x:v>Amount</x:v>
      </x:c>
    </x:row>
    <x:row r="5">
      <x:c r="A5" s="107" t="str">
        <x:v>Total Receipts Entered</x:v>
      </x:c>
      <x:c r="B5" s="110" t="n">
        <x:f>C10+C11+C12+C13+C14</x:f>
        <x:v>0</x:v>
      </x:c>
      <x:c r="E5" s="129" t="str">
        <x:v>01 – Materials</x:v>
      </x:c>
      <x:c r="F5" s="132" t="n">
        <x:f>'Home Depot'!F1011+'Lowes'!F1011+'Amazon'!F1011+'Misc Vendors'!F1011+'Future Blank'!F1011</x:f>
        <x:v>0</x:v>
      </x:c>
    </x:row>
    <x:row r="6">
      <x:c r="A6" s="107" t="str">
        <x:v>Average Receipt</x:v>
      </x:c>
      <x:c r="B6" s="110" t="n">
        <x:f>IF(B5=0,0,B4/B5)</x:f>
        <x:v>0</x:v>
      </x:c>
      <x:c r="E6" s="129" t="str">
        <x:v>02 – Tools</x:v>
      </x:c>
      <x:c r="F6" s="132" t="n">
        <x:f>'Home Depot'!F1012+'Lowes'!F1012+'Amazon'!F1012+'Misc Vendors'!F1012+'Future Blank'!F1012</x:f>
        <x:v>0</x:v>
      </x:c>
    </x:row>
    <x:row r="7">
      <x:c r="E7" s="129" t="str">
        <x:v>03 – Gas &amp; Mileage</x:v>
      </x:c>
      <x:c r="F7" s="132" t="n">
        <x:f>'Home Depot'!F1013+'Lowes'!F1013+'Amazon'!F1013+'Misc Vendors'!F1013+'Future Blank'!F1013</x:f>
        <x:v>0</x:v>
      </x:c>
    </x:row>
    <x:row r="8">
      <x:c r="E8" s="129" t="str">
        <x:v>04 – Tolls</x:v>
      </x:c>
      <x:c r="F8" s="132" t="n">
        <x:f>'Home Depot'!F1014+'Lowes'!F1014+'Amazon'!F1014+'Misc Vendors'!F1014+'Future Blank'!F1014</x:f>
        <x:v>0</x:v>
      </x:c>
    </x:row>
    <x:row r="9">
      <x:c r="A9" s="116" t="str">
        <x:v>Vendor Page Totals</x:v>
      </x:c>
      <x:c r="B9" s="116" t="str">
        <x:v>Amount</x:v>
      </x:c>
      <x:c r="C9" s="116" t="str">
        <x:v>Receipt Count</x:v>
      </x:c>
      <x:c r="E9" s="129" t="str">
        <x:v>05 – Meals (Business)</x:v>
      </x:c>
      <x:c r="F9" s="132" t="n">
        <x:f>'Home Depot'!F1015+'Lowes'!F1015+'Amazon'!F1015+'Misc Vendors'!F1015+'Future Blank'!F1015</x:f>
        <x:v>0</x:v>
      </x:c>
    </x:row>
    <x:row r="10">
      <x:c r="A10" s="121" t="str">
        <x:v>Home Depot</x:v>
      </x:c>
      <x:c r="B10" s="124" t="n">
        <x:f>SUM('Home Depot'!$H$8:$H$1007)</x:f>
        <x:v>0</x:v>
      </x:c>
      <x:c r="C10" s="124" t="n">
        <x:f>COUNTIF('Home Depot'!$H$8:$H$1007,"&gt;0")</x:f>
        <x:v>0</x:v>
      </x:c>
      <x:c r="E10" s="129" t="str">
        <x:v>06 – Job Supplies</x:v>
      </x:c>
      <x:c r="F10" s="132" t="n">
        <x:f>'Home Depot'!F1016+'Lowes'!F1016+'Amazon'!F1016+'Misc Vendors'!F1016+'Future Blank'!F1016</x:f>
        <x:v>0</x:v>
      </x:c>
    </x:row>
    <x:row r="11">
      <x:c r="A11" s="121" t="str">
        <x:v>Lowes</x:v>
      </x:c>
      <x:c r="B11" s="124" t="n">
        <x:f>SUM('Lowes'!$H$8:$H$1007)</x:f>
        <x:v>0</x:v>
      </x:c>
      <x:c r="C11" s="124" t="n">
        <x:f>COUNTIF('Lowes'!$H$8:$H$1007,"&gt;0")</x:f>
        <x:v>0</x:v>
      </x:c>
      <x:c r="E11" s="129" t="str">
        <x:v>07 – Subcontractors</x:v>
      </x:c>
      <x:c r="F11" s="132" t="n">
        <x:f>'Home Depot'!F1017+'Lowes'!F1017+'Amazon'!F1017+'Misc Vendors'!F1017+'Future Blank'!F1017</x:f>
        <x:v>0</x:v>
      </x:c>
    </x:row>
    <x:row r="12">
      <x:c r="A12" s="121" t="str">
        <x:v>Amazon</x:v>
      </x:c>
      <x:c r="B12" s="124" t="n">
        <x:f>SUM('Amazon'!$H$8:$H$1007)</x:f>
        <x:v>0</x:v>
      </x:c>
      <x:c r="C12" s="124" t="n">
        <x:f>COUNTIF('Amazon'!$H$8:$H$1007,"&gt;0")</x:f>
        <x:v>0</x:v>
      </x:c>
      <x:c r="E12" s="129" t="str">
        <x:v>08 – Rental Equipment</x:v>
      </x:c>
      <x:c r="F12" s="132" t="n">
        <x:f>'Home Depot'!F1018+'Lowes'!F1018+'Amazon'!F1018+'Misc Vendors'!F1018+'Future Blank'!F1018</x:f>
        <x:v>0</x:v>
      </x:c>
    </x:row>
    <x:row r="13">
      <x:c r="A13" s="121" t="str">
        <x:v>Misc Vendors</x:v>
      </x:c>
      <x:c r="B13" s="124" t="n">
        <x:f>SUM('Misc Vendors'!$H$8:$H$1007)</x:f>
        <x:v>0</x:v>
      </x:c>
      <x:c r="C13" s="124" t="n">
        <x:f>COUNTIF('Misc Vendors'!$H$8:$H$1007,"&gt;0")</x:f>
        <x:v>0</x:v>
      </x:c>
      <x:c r="E13" s="129" t="str">
        <x:v>09 – Marketing &amp; Advertising</x:v>
      </x:c>
      <x:c r="F13" s="132" t="n">
        <x:f>'Home Depot'!F1019+'Lowes'!F1019+'Amazon'!F1019+'Misc Vendors'!F1019+'Future Blank'!F1019</x:f>
        <x:v>0</x:v>
      </x:c>
    </x:row>
    <x:row r="14">
      <x:c r="A14" s="121" t="str">
        <x:v>Future Blank</x:v>
      </x:c>
      <x:c r="B14" s="124" t="n">
        <x:f>SUM('Future Blank'!$H$8:$H$1007)</x:f>
        <x:v>0</x:v>
      </x:c>
      <x:c r="C14" s="124" t="n">
        <x:f>COUNTIF('Future Blank'!$H$8:$H$1007,"&gt;0")</x:f>
        <x:v>0</x:v>
      </x:c>
      <x:c r="E14" s="129" t="str">
        <x:v>10 – Digital Ads</x:v>
      </x:c>
      <x:c r="F14" s="132" t="n">
        <x:f>'Home Depot'!F1020+'Lowes'!F1020+'Amazon'!F1020+'Misc Vendors'!F1020+'Future Blank'!F1020</x:f>
        <x:v>0</x:v>
      </x:c>
    </x:row>
    <x:row r="15">
      <x:c r="E15" s="129" t="str">
        <x:v>11 – Website &amp; Software</x:v>
      </x:c>
      <x:c r="F15" s="132" t="n">
        <x:f>'Home Depot'!F1021+'Lowes'!F1021+'Amazon'!F1021+'Misc Vendors'!F1021+'Future Blank'!F1021</x:f>
        <x:v>0</x:v>
      </x:c>
    </x:row>
    <x:row r="16">
      <x:c r="E16" s="129" t="str">
        <x:v>12 – Insurance</x:v>
      </x:c>
      <x:c r="F16" s="132" t="n">
        <x:f>'Home Depot'!F1022+'Lowes'!F1022+'Amazon'!F1022+'Misc Vendors'!F1022+'Future Blank'!F1022</x:f>
        <x:v>0</x:v>
      </x:c>
    </x:row>
    <x:row r="17">
      <x:c r="A17" s="175" t="str">
        <x:v>Custom Vendor Totals from Setup Lists</x:v>
      </x:c>
      <x:c r="B17" s="175" t="str">
        <x:v>Amount</x:v>
      </x:c>
      <x:c r="C17" s="175" t="str">
        <x:v>Rows Matched</x:v>
      </x:c>
      <x:c r="E17" s="129" t="str">
        <x:v>13 – Licenses &amp; Fees</x:v>
      </x:c>
      <x:c r="F17" s="132" t="n">
        <x:f>'Home Depot'!F1023+'Lowes'!F1023+'Amazon'!F1023+'Misc Vendors'!F1023+'Future Blank'!F1023</x:f>
        <x:v>0</x:v>
      </x:c>
    </x:row>
    <x:row r="18">
      <x:c r="A18" s="169" t="str">
        <x:f>IF('Setup Lists'!A2="","",'Setup Lists'!A2)</x:f>
        <x:v>Home Depot</x:v>
      </x:c>
      <x:c r="B18" s="184" t="n">
        <x:f>IF(A18="","",SUMIF('Home Depot'!$C$8:$C$1007,A18,'Home Depot'!$H$8:$H$1007) + SUMIF('Lowes'!$C$8:$C$1007,A18,'Lowes'!$H$8:$H$1007) + SUMIF('Amazon'!$C$8:$C$1007,A18,'Amazon'!$H$8:$H$1007) + SUMIF('Misc Vendors'!$C$8:$C$1007,A18,'Misc Vendors'!$H$8:$H$1007) + SUMIF('Future Blank'!$C$8:$C$1007,A18,'Future Blank'!$H$8:$H$1007))</x:f>
        <x:v>0</x:v>
      </x:c>
      <x:c r="C18" s="184" t="n">
        <x:f>IF(A18="","",COUNTIF('Home Depot'!$C$8:$C$1007,A18) + COUNTIF('Lowes'!$C$8:$C$1007,A18) + COUNTIF('Amazon'!$C$8:$C$1007,A18) + COUNTIF('Misc Vendors'!$C$8:$C$1007,A18) + COUNTIF('Future Blank'!$C$8:$C$1007,A18))</x:f>
        <x:v>0</x:v>
      </x:c>
      <x:c r="E18" s="129" t="str">
        <x:v>14 – Misc Expenses</x:v>
      </x:c>
      <x:c r="F18" s="132" t="n">
        <x:f>'Home Depot'!F1024+'Lowes'!F1024+'Amazon'!F1024+'Misc Vendors'!F1024+'Future Blank'!F1024</x:f>
        <x:v>0</x:v>
      </x:c>
    </x:row>
    <x:row r="19">
      <x:c r="A19" s="169" t="str">
        <x:f>IF('Setup Lists'!A3="","",'Setup Lists'!A3)</x:f>
        <x:v>Lowes</x:v>
      </x:c>
      <x:c r="B19" s="184" t="n">
        <x:f>IF(A19="","",SUMIF('Home Depot'!$C$8:$C$1007,A19,'Home Depot'!$H$8:$H$1007) + SUMIF('Lowes'!$C$8:$C$1007,A19,'Lowes'!$H$8:$H$1007) + SUMIF('Amazon'!$C$8:$C$1007,A19,'Amazon'!$H$8:$H$1007) + SUMIF('Misc Vendors'!$C$8:$C$1007,A19,'Misc Vendors'!$H$8:$H$1007) + SUMIF('Future Blank'!$C$8:$C$1007,A19,'Future Blank'!$H$8:$H$1007))</x:f>
        <x:v>0</x:v>
      </x:c>
      <x:c r="C19" s="184" t="n">
        <x:f>IF(A19="","",COUNTIF('Home Depot'!$C$8:$C$1007,A19) + COUNTIF('Lowes'!$C$8:$C$1007,A19) + COUNTIF('Amazon'!$C$8:$C$1007,A19) + COUNTIF('Misc Vendors'!$C$8:$C$1007,A19) + COUNTIF('Future Blank'!$C$8:$C$1007,A19))</x:f>
        <x:v>0</x:v>
      </x:c>
      <x:c r="E19" s="129" t="str">
        <x:v>15 – Equipment (Long-Term)</x:v>
      </x:c>
      <x:c r="F19" s="132" t="n">
        <x:f>'Home Depot'!F1025+'Lowes'!F1025+'Amazon'!F1025+'Misc Vendors'!F1025+'Future Blank'!F1025</x:f>
        <x:v>0</x:v>
      </x:c>
    </x:row>
    <x:row r="20">
      <x:c r="A20" s="169" t="str">
        <x:f>IF('Setup Lists'!A4="","",'Setup Lists'!A4)</x:f>
        <x:v>Amazon</x:v>
      </x:c>
      <x:c r="B20" s="184" t="n">
        <x:f>IF(A20="","",SUMIF('Home Depot'!$C$8:$C$1007,A20,'Home Depot'!$H$8:$H$1007) + SUMIF('Lowes'!$C$8:$C$1007,A20,'Lowes'!$H$8:$H$1007) + SUMIF('Amazon'!$C$8:$C$1007,A20,'Amazon'!$H$8:$H$1007) + SUMIF('Misc Vendors'!$C$8:$C$1007,A20,'Misc Vendors'!$H$8:$H$1007) + SUMIF('Future Blank'!$C$8:$C$1007,A20,'Future Blank'!$H$8:$H$1007))</x:f>
        <x:v>0</x:v>
      </x:c>
      <x:c r="C20" s="184" t="n">
        <x:f>IF(A20="","",COUNTIF('Home Depot'!$C$8:$C$1007,A20) + COUNTIF('Lowes'!$C$8:$C$1007,A20) + COUNTIF('Amazon'!$C$8:$C$1007,A20) + COUNTIF('Misc Vendors'!$C$8:$C$1007,A20) + COUNTIF('Future Blank'!$C$8:$C$1007,A20))</x:f>
        <x:v>0</x:v>
      </x:c>
      <x:c r="E20" s="129" t="str">
        <x:v>16 – Vehicle Expenses</x:v>
      </x:c>
      <x:c r="F20" s="132" t="n">
        <x:f>'Home Depot'!F1026+'Lowes'!F1026+'Amazon'!F1026+'Misc Vendors'!F1026+'Future Blank'!F1026</x:f>
        <x:v>0</x:v>
      </x:c>
    </x:row>
    <x:row r="21">
      <x:c r="A21" s="169" t="str">
        <x:f>IF('Setup Lists'!A5="","",'Setup Lists'!A5)</x:f>
        <x:v>Misc Vendors</x:v>
      </x:c>
      <x:c r="B21" s="184" t="n">
        <x:f>IF(A21="","",SUMIF('Home Depot'!$C$8:$C$1007,A21,'Home Depot'!$H$8:$H$1007) + SUMIF('Lowes'!$C$8:$C$1007,A21,'Lowes'!$H$8:$H$1007) + SUMIF('Amazon'!$C$8:$C$1007,A21,'Amazon'!$H$8:$H$1007) + SUMIF('Misc Vendors'!$C$8:$C$1007,A21,'Misc Vendors'!$H$8:$H$1007) + SUMIF('Future Blank'!$C$8:$C$1007,A21,'Future Blank'!$H$8:$H$1007))</x:f>
        <x:v>0</x:v>
      </x:c>
      <x:c r="C21" s="184" t="n">
        <x:f>IF(A21="","",COUNTIF('Home Depot'!$C$8:$C$1007,A21) + COUNTIF('Lowes'!$C$8:$C$1007,A21) + COUNTIF('Amazon'!$C$8:$C$1007,A21) + COUNTIF('Misc Vendors'!$C$8:$C$1007,A21) + COUNTIF('Future Blank'!$C$8:$C$1007,A21))</x:f>
        <x:v>0</x:v>
      </x:c>
      <x:c r="E21" s="129" t="str">
        <x:v>17 – Home Office</x:v>
      </x:c>
      <x:c r="F21" s="132" t="n">
        <x:f>'Home Depot'!F1027+'Lowes'!F1027+'Amazon'!F1027+'Misc Vendors'!F1027+'Future Blank'!F1027</x:f>
        <x:v>0</x:v>
      </x:c>
    </x:row>
    <x:row r="22">
      <x:c r="A22" s="169" t="str">
        <x:f>IF('Setup Lists'!A6="","",'Setup Lists'!A6)</x:f>
        <x:v>Future Blank</x:v>
      </x:c>
      <x:c r="B22" s="184" t="n">
        <x:f>IF(A22="","",SUMIF('Home Depot'!$C$8:$C$1007,A22,'Home Depot'!$H$8:$H$1007) + SUMIF('Lowes'!$C$8:$C$1007,A22,'Lowes'!$H$8:$H$1007) + SUMIF('Amazon'!$C$8:$C$1007,A22,'Amazon'!$H$8:$H$1007) + SUMIF('Misc Vendors'!$C$8:$C$1007,A22,'Misc Vendors'!$H$8:$H$1007) + SUMIF('Future Blank'!$C$8:$C$1007,A22,'Future Blank'!$H$8:$H$1007))</x:f>
        <x:v>0</x:v>
      </x:c>
      <x:c r="C22" s="184" t="n">
        <x:f>IF(A22="","",COUNTIF('Home Depot'!$C$8:$C$1007,A22) + COUNTIF('Lowes'!$C$8:$C$1007,A22) + COUNTIF('Amazon'!$C$8:$C$1007,A22) + COUNTIF('Misc Vendors'!$C$8:$C$1007,A22) + COUNTIF('Future Blank'!$C$8:$C$1007,A22))</x:f>
        <x:v>0</x:v>
      </x:c>
      <x:c r="E22" s="129" t="str">
        <x:v>18 – Phone &amp; Internet</x:v>
      </x:c>
      <x:c r="F22" s="132" t="n">
        <x:f>'Home Depot'!F1028+'Lowes'!F1028+'Amazon'!F1028+'Misc Vendors'!F1028+'Future Blank'!F1028</x:f>
        <x:v>0</x:v>
      </x:c>
    </x:row>
    <x:row r="23">
      <x:c r="A23" s="169" t="str">
        <x:f>IF('Setup Lists'!A7="","",'Setup Lists'!A7)</x:f>
      </x:c>
      <x:c r="B23" s="170" t="str">
        <x:f>IF(A23="","",SUMIF('Home Depot'!$C$8:$C$1007,A23,'Home Depot'!$H$8:$H$1007) + SUMIF('Lowes'!$C$8:$C$1007,A23,'Lowes'!$H$8:$H$1007) + SUMIF('Amazon'!$C$8:$C$1007,A23,'Amazon'!$H$8:$H$1007) + SUMIF('Misc Vendors'!$C$8:$C$1007,A23,'Misc Vendors'!$H$8:$H$1007) + SUMIF('Future Blank'!$C$8:$C$1007,A23,'Future Blank'!$H$8:$H$1007))</x:f>
      </x:c>
      <x:c r="C23" s="171" t="str">
        <x:f>IF(A23="","",COUNTIF('Home Depot'!$C$8:$C$1007,A23) + COUNTIF('Lowes'!$C$8:$C$1007,A23) + COUNTIF('Amazon'!$C$8:$C$1007,A23) + COUNTIF('Misc Vendors'!$C$8:$C$1007,A23) + COUNTIF('Future Blank'!$C$8:$C$1007,A23))</x:f>
      </x:c>
    </x:row>
    <x:row r="24">
      <x:c r="A24" s="169" t="str">
        <x:f>IF('Setup Lists'!A8="","",'Setup Lists'!A8)</x:f>
      </x:c>
      <x:c r="B24" s="170" t="str">
        <x:f>IF(A24="","",SUMIF('Home Depot'!$C$8:$C$1007,A24,'Home Depot'!$H$8:$H$1007) + SUMIF('Lowes'!$C$8:$C$1007,A24,'Lowes'!$H$8:$H$1007) + SUMIF('Amazon'!$C$8:$C$1007,A24,'Amazon'!$H$8:$H$1007) + SUMIF('Misc Vendors'!$C$8:$C$1007,A24,'Misc Vendors'!$H$8:$H$1007) + SUMIF('Future Blank'!$C$8:$C$1007,A24,'Future Blank'!$H$8:$H$1007))</x:f>
      </x:c>
      <x:c r="C24" s="171" t="str">
        <x:f>IF(A24="","",COUNTIF('Home Depot'!$C$8:$C$1007,A24) + COUNTIF('Lowes'!$C$8:$C$1007,A24) + COUNTIF('Amazon'!$C$8:$C$1007,A24) + COUNTIF('Misc Vendors'!$C$8:$C$1007,A24) + COUNTIF('Future Blank'!$C$8:$C$1007,A24))</x:f>
      </x:c>
    </x:row>
    <x:row r="25">
      <x:c r="A25" s="169" t="str">
        <x:f>IF('Setup Lists'!A9="","",'Setup Lists'!A9)</x:f>
      </x:c>
      <x:c r="B25" s="170" t="str">
        <x:f>IF(A25="","",SUMIF('Home Depot'!$C$8:$C$1007,A25,'Home Depot'!$H$8:$H$1007) + SUMIF('Lowes'!$C$8:$C$1007,A25,'Lowes'!$H$8:$H$1007) + SUMIF('Amazon'!$C$8:$C$1007,A25,'Amazon'!$H$8:$H$1007) + SUMIF('Misc Vendors'!$C$8:$C$1007,A25,'Misc Vendors'!$H$8:$H$1007) + SUMIF('Future Blank'!$C$8:$C$1007,A25,'Future Blank'!$H$8:$H$1007))</x:f>
      </x:c>
      <x:c r="C25" s="171" t="str">
        <x:f>IF(A25="","",COUNTIF('Home Depot'!$C$8:$C$1007,A25) + COUNTIF('Lowes'!$C$8:$C$1007,A25) + COUNTIF('Amazon'!$C$8:$C$1007,A25) + COUNTIF('Misc Vendors'!$C$8:$C$1007,A25) + COUNTIF('Future Blank'!$C$8:$C$1007,A25))</x:f>
      </x:c>
      <x:c r="E25" s="116" t="str">
        <x:v>Payment Method Totals</x:v>
      </x:c>
      <x:c r="F25" s="116" t="str">
        <x:v>Amount</x:v>
      </x:c>
    </x:row>
    <x:row r="26">
      <x:c r="A26" s="169" t="str">
        <x:f>IF('Setup Lists'!A10="","",'Setup Lists'!A10)</x:f>
      </x:c>
      <x:c r="B26" s="170" t="str">
        <x:f>IF(A26="","",SUMIF('Home Depot'!$C$8:$C$1007,A26,'Home Depot'!$H$8:$H$1007) + SUMIF('Lowes'!$C$8:$C$1007,A26,'Lowes'!$H$8:$H$1007) + SUMIF('Amazon'!$C$8:$C$1007,A26,'Amazon'!$H$8:$H$1007) + SUMIF('Misc Vendors'!$C$8:$C$1007,A26,'Misc Vendors'!$H$8:$H$1007) + SUMIF('Future Blank'!$C$8:$C$1007,A26,'Future Blank'!$H$8:$H$1007))</x:f>
      </x:c>
      <x:c r="C26" s="171" t="str">
        <x:f>IF(A26="","",COUNTIF('Home Depot'!$C$8:$C$1007,A26) + COUNTIF('Lowes'!$C$8:$C$1007,A26) + COUNTIF('Amazon'!$C$8:$C$1007,A26) + COUNTIF('Misc Vendors'!$C$8:$C$1007,A26) + COUNTIF('Future Blank'!$C$8:$C$1007,A26))</x:f>
      </x:c>
      <x:c r="E26" s="129" t="str">
        <x:v>Cash</x:v>
      </x:c>
      <x:c r="F26" s="132" t="n">
        <x:f>'Home Depot'!I1011+'Lowes'!I1011+'Amazon'!I1011+'Misc Vendors'!I1011+'Future Blank'!I1011</x:f>
        <x:v>0</x:v>
      </x:c>
    </x:row>
    <x:row r="27">
      <x:c r="A27" s="169" t="str">
        <x:f>IF('Setup Lists'!A11="","",'Setup Lists'!A11)</x:f>
      </x:c>
      <x:c r="B27" s="170" t="str">
        <x:f>IF(A27="","",SUMIF('Home Depot'!$C$8:$C$1007,A27,'Home Depot'!$H$8:$H$1007) + SUMIF('Lowes'!$C$8:$C$1007,A27,'Lowes'!$H$8:$H$1007) + SUMIF('Amazon'!$C$8:$C$1007,A27,'Amazon'!$H$8:$H$1007) + SUMIF('Misc Vendors'!$C$8:$C$1007,A27,'Misc Vendors'!$H$8:$H$1007) + SUMIF('Future Blank'!$C$8:$C$1007,A27,'Future Blank'!$H$8:$H$1007))</x:f>
      </x:c>
      <x:c r="C27" s="171" t="str">
        <x:f>IF(A27="","",COUNTIF('Home Depot'!$C$8:$C$1007,A27) + COUNTIF('Lowes'!$C$8:$C$1007,A27) + COUNTIF('Amazon'!$C$8:$C$1007,A27) + COUNTIF('Misc Vendors'!$C$8:$C$1007,A27) + COUNTIF('Future Blank'!$C$8:$C$1007,A27))</x:f>
      </x:c>
      <x:c r="E27" s="129" t="str">
        <x:v>Credit Card</x:v>
      </x:c>
      <x:c r="F27" s="132" t="n">
        <x:f>'Home Depot'!I1012+'Lowes'!I1012+'Amazon'!I1012+'Misc Vendors'!I1012+'Future Blank'!I1012</x:f>
        <x:v>0</x:v>
      </x:c>
    </x:row>
    <x:row r="28">
      <x:c r="A28" s="169" t="str">
        <x:f>IF('Setup Lists'!A12="","",'Setup Lists'!A12)</x:f>
      </x:c>
      <x:c r="B28" s="170" t="str">
        <x:f>IF(A28="","",SUMIF('Home Depot'!$C$8:$C$1007,A28,'Home Depot'!$H$8:$H$1007) + SUMIF('Lowes'!$C$8:$C$1007,A28,'Lowes'!$H$8:$H$1007) + SUMIF('Amazon'!$C$8:$C$1007,A28,'Amazon'!$H$8:$H$1007) + SUMIF('Misc Vendors'!$C$8:$C$1007,A28,'Misc Vendors'!$H$8:$H$1007) + SUMIF('Future Blank'!$C$8:$C$1007,A28,'Future Blank'!$H$8:$H$1007))</x:f>
      </x:c>
      <x:c r="C28" s="171" t="str">
        <x:f>IF(A28="","",COUNTIF('Home Depot'!$C$8:$C$1007,A28) + COUNTIF('Lowes'!$C$8:$C$1007,A28) + COUNTIF('Amazon'!$C$8:$C$1007,A28) + COUNTIF('Misc Vendors'!$C$8:$C$1007,A28) + COUNTIF('Future Blank'!$C$8:$C$1007,A28))</x:f>
      </x:c>
      <x:c r="E28" s="129" t="str">
        <x:v>Debit Card</x:v>
      </x:c>
      <x:c r="F28" s="132" t="n">
        <x:f>'Home Depot'!I1013+'Lowes'!I1013+'Amazon'!I1013+'Misc Vendors'!I1013+'Future Blank'!I1013</x:f>
        <x:v>0</x:v>
      </x:c>
    </x:row>
    <x:row r="29">
      <x:c r="A29" s="169" t="str">
        <x:f>IF('Setup Lists'!A13="","",'Setup Lists'!A13)</x:f>
      </x:c>
      <x:c r="B29" s="170" t="str">
        <x:f>IF(A29="","",SUMIF('Home Depot'!$C$8:$C$1007,A29,'Home Depot'!$H$8:$H$1007) + SUMIF('Lowes'!$C$8:$C$1007,A29,'Lowes'!$H$8:$H$1007) + SUMIF('Amazon'!$C$8:$C$1007,A29,'Amazon'!$H$8:$H$1007) + SUMIF('Misc Vendors'!$C$8:$C$1007,A29,'Misc Vendors'!$H$8:$H$1007) + SUMIF('Future Blank'!$C$8:$C$1007,A29,'Future Blank'!$H$8:$H$1007))</x:f>
      </x:c>
      <x:c r="C29" s="171" t="str">
        <x:f>IF(A29="","",COUNTIF('Home Depot'!$C$8:$C$1007,A29) + COUNTIF('Lowes'!$C$8:$C$1007,A29) + COUNTIF('Amazon'!$C$8:$C$1007,A29) + COUNTIF('Misc Vendors'!$C$8:$C$1007,A29) + COUNTIF('Future Blank'!$C$8:$C$1007,A29))</x:f>
      </x:c>
      <x:c r="E29" s="129" t="str">
        <x:v>Check</x:v>
      </x:c>
      <x:c r="F29" s="132" t="n">
        <x:f>'Home Depot'!I1014+'Lowes'!I1014+'Amazon'!I1014+'Misc Vendors'!I1014+'Future Blank'!I1014</x:f>
        <x:v>0</x:v>
      </x:c>
    </x:row>
    <x:row r="30">
      <x:c r="A30" s="169" t="str">
        <x:f>IF('Setup Lists'!A14="","",'Setup Lists'!A14)</x:f>
      </x:c>
      <x:c r="B30" s="170" t="str">
        <x:f>IF(A30="","",SUMIF('Home Depot'!$C$8:$C$1007,A30,'Home Depot'!$H$8:$H$1007) + SUMIF('Lowes'!$C$8:$C$1007,A30,'Lowes'!$H$8:$H$1007) + SUMIF('Amazon'!$C$8:$C$1007,A30,'Amazon'!$H$8:$H$1007) + SUMIF('Misc Vendors'!$C$8:$C$1007,A30,'Misc Vendors'!$H$8:$H$1007) + SUMIF('Future Blank'!$C$8:$C$1007,A30,'Future Blank'!$H$8:$H$1007))</x:f>
      </x:c>
      <x:c r="C30" s="171" t="str">
        <x:f>IF(A30="","",COUNTIF('Home Depot'!$C$8:$C$1007,A30) + COUNTIF('Lowes'!$C$8:$C$1007,A30) + COUNTIF('Amazon'!$C$8:$C$1007,A30) + COUNTIF('Misc Vendors'!$C$8:$C$1007,A30) + COUNTIF('Future Blank'!$C$8:$C$1007,A30))</x:f>
      </x:c>
      <x:c r="E30" s="129" t="str">
        <x:v>Zelle</x:v>
      </x:c>
      <x:c r="F30" s="132" t="n">
        <x:f>'Home Depot'!I1015+'Lowes'!I1015+'Amazon'!I1015+'Misc Vendors'!I1015+'Future Blank'!I1015</x:f>
        <x:v>0</x:v>
      </x:c>
    </x:row>
    <x:row r="31">
      <x:c r="A31" s="169" t="str">
        <x:f>IF('Setup Lists'!A15="","",'Setup Lists'!A15)</x:f>
      </x:c>
      <x:c r="B31" s="170" t="str">
        <x:f>IF(A31="","",SUMIF('Home Depot'!$C$8:$C$1007,A31,'Home Depot'!$H$8:$H$1007) + SUMIF('Lowes'!$C$8:$C$1007,A31,'Lowes'!$H$8:$H$1007) + SUMIF('Amazon'!$C$8:$C$1007,A31,'Amazon'!$H$8:$H$1007) + SUMIF('Misc Vendors'!$C$8:$C$1007,A31,'Misc Vendors'!$H$8:$H$1007) + SUMIF('Future Blank'!$C$8:$C$1007,A31,'Future Blank'!$H$8:$H$1007))</x:f>
      </x:c>
      <x:c r="C31" s="171" t="str">
        <x:f>IF(A31="","",COUNTIF('Home Depot'!$C$8:$C$1007,A31) + COUNTIF('Lowes'!$C$8:$C$1007,A31) + COUNTIF('Amazon'!$C$8:$C$1007,A31) + COUNTIF('Misc Vendors'!$C$8:$C$1007,A31) + COUNTIF('Future Blank'!$C$8:$C$1007,A31))</x:f>
      </x:c>
      <x:c r="E31" s="129" t="str">
        <x:v>Bank Transfer</x:v>
      </x:c>
      <x:c r="F31" s="132" t="n">
        <x:f>'Home Depot'!I1016+'Lowes'!I1016+'Amazon'!I1016+'Misc Vendors'!I1016+'Future Blank'!I1016</x:f>
        <x:v>0</x:v>
      </x:c>
    </x:row>
    <x:row r="32">
      <x:c r="A32" s="169" t="str">
        <x:f>IF('Setup Lists'!A16="","",'Setup Lists'!A16)</x:f>
      </x:c>
      <x:c r="B32" s="170" t="str">
        <x:f>IF(A32="","",SUMIF('Home Depot'!$C$8:$C$1007,A32,'Home Depot'!$H$8:$H$1007) + SUMIF('Lowes'!$C$8:$C$1007,A32,'Lowes'!$H$8:$H$1007) + SUMIF('Amazon'!$C$8:$C$1007,A32,'Amazon'!$H$8:$H$1007) + SUMIF('Misc Vendors'!$C$8:$C$1007,A32,'Misc Vendors'!$H$8:$H$1007) + SUMIF('Future Blank'!$C$8:$C$1007,A32,'Future Blank'!$H$8:$H$1007))</x:f>
      </x:c>
      <x:c r="C32" s="171" t="str">
        <x:f>IF(A32="","",COUNTIF('Home Depot'!$C$8:$C$1007,A32) + COUNTIF('Lowes'!$C$8:$C$1007,A32) + COUNTIF('Amazon'!$C$8:$C$1007,A32) + COUNTIF('Misc Vendors'!$C$8:$C$1007,A32) + COUNTIF('Future Blank'!$C$8:$C$1007,A32))</x:f>
      </x:c>
      <x:c r="E32" s="129" t="str">
        <x:v>Other</x:v>
      </x:c>
      <x:c r="F32" s="132" t="n">
        <x:f>'Home Depot'!I1017+'Lowes'!I1017+'Amazon'!I1017+'Misc Vendors'!I1017+'Future Blank'!I1017</x:f>
        <x:v>0</x:v>
      </x:c>
    </x:row>
    <x:row r="33">
      <x:c r="A33" s="169" t="str">
        <x:f>IF('Setup Lists'!A17="","",'Setup Lists'!A17)</x:f>
      </x:c>
      <x:c r="B33" s="170" t="str">
        <x:f>IF(A33="","",SUMIF('Home Depot'!$C$8:$C$1007,A33,'Home Depot'!$H$8:$H$1007) + SUMIF('Lowes'!$C$8:$C$1007,A33,'Lowes'!$H$8:$H$1007) + SUMIF('Amazon'!$C$8:$C$1007,A33,'Amazon'!$H$8:$H$1007) + SUMIF('Misc Vendors'!$C$8:$C$1007,A33,'Misc Vendors'!$H$8:$H$1007) + SUMIF('Future Blank'!$C$8:$C$1007,A33,'Future Blank'!$H$8:$H$1007))</x:f>
      </x:c>
      <x:c r="C33" s="171" t="str">
        <x:f>IF(A33="","",COUNTIF('Home Depot'!$C$8:$C$1007,A33) + COUNTIF('Lowes'!$C$8:$C$1007,A33) + COUNTIF('Amazon'!$C$8:$C$1007,A33) + COUNTIF('Misc Vendors'!$C$8:$C$1007,A33) + COUNTIF('Future Blank'!$C$8:$C$1007,A33))</x:f>
      </x:c>
    </x:row>
    <x:row r="34">
      <x:c r="A34" s="169" t="str">
        <x:f>IF('Setup Lists'!A18="","",'Setup Lists'!A18)</x:f>
      </x:c>
      <x:c r="B34" s="170" t="str">
        <x:f>IF(A34="","",SUMIF('Home Depot'!$C$8:$C$1007,A34,'Home Depot'!$H$8:$H$1007) + SUMIF('Lowes'!$C$8:$C$1007,A34,'Lowes'!$H$8:$H$1007) + SUMIF('Amazon'!$C$8:$C$1007,A34,'Amazon'!$H$8:$H$1007) + SUMIF('Misc Vendors'!$C$8:$C$1007,A34,'Misc Vendors'!$H$8:$H$1007) + SUMIF('Future Blank'!$C$8:$C$1007,A34,'Future Blank'!$H$8:$H$1007))</x:f>
      </x:c>
      <x:c r="C34" s="171" t="str">
        <x:f>IF(A34="","",COUNTIF('Home Depot'!$C$8:$C$1007,A34) + COUNTIF('Lowes'!$C$8:$C$1007,A34) + COUNTIF('Amazon'!$C$8:$C$1007,A34) + COUNTIF('Misc Vendors'!$C$8:$C$1007,A34) + COUNTIF('Future Blank'!$C$8:$C$1007,A34))</x:f>
      </x:c>
    </x:row>
    <x:row r="35">
      <x:c r="A35" s="169" t="str">
        <x:f>IF('Setup Lists'!A19="","",'Setup Lists'!A19)</x:f>
      </x:c>
      <x:c r="B35" s="170" t="str">
        <x:f>IF(A35="","",SUMIF('Home Depot'!$C$8:$C$1007,A35,'Home Depot'!$H$8:$H$1007) + SUMIF('Lowes'!$C$8:$C$1007,A35,'Lowes'!$H$8:$H$1007) + SUMIF('Amazon'!$C$8:$C$1007,A35,'Amazon'!$H$8:$H$1007) + SUMIF('Misc Vendors'!$C$8:$C$1007,A35,'Misc Vendors'!$H$8:$H$1007) + SUMIF('Future Blank'!$C$8:$C$1007,A35,'Future Blank'!$H$8:$H$1007))</x:f>
      </x:c>
      <x:c r="C35" s="171" t="str">
        <x:f>IF(A35="","",COUNTIF('Home Depot'!$C$8:$C$1007,A35) + COUNTIF('Lowes'!$C$8:$C$1007,A35) + COUNTIF('Amazon'!$C$8:$C$1007,A35) + COUNTIF('Misc Vendors'!$C$8:$C$1007,A35) + COUNTIF('Future Blank'!$C$8:$C$1007,A35))</x:f>
      </x:c>
      <x:c r="E35" s="116" t="str">
        <x:v>Monthly Totals</x:v>
      </x:c>
      <x:c r="F35" s="116" t="str">
        <x:v>Month</x:v>
      </x:c>
      <x:c r="G35" s="116" t="str">
        <x:v>Amount</x:v>
      </x:c>
    </x:row>
    <x:row r="36">
      <x:c r="A36" s="169" t="str">
        <x:f>IF('Setup Lists'!A20="","",'Setup Lists'!A20)</x:f>
      </x:c>
      <x:c r="B36" s="170" t="str">
        <x:f>IF(A36="","",SUMIF('Home Depot'!$C$8:$C$1007,A36,'Home Depot'!$H$8:$H$1007) + SUMIF('Lowes'!$C$8:$C$1007,A36,'Lowes'!$H$8:$H$1007) + SUMIF('Amazon'!$C$8:$C$1007,A36,'Amazon'!$H$8:$H$1007) + SUMIF('Misc Vendors'!$C$8:$C$1007,A36,'Misc Vendors'!$H$8:$H$1007) + SUMIF('Future Blank'!$C$8:$C$1007,A36,'Future Blank'!$H$8:$H$1007))</x:f>
      </x:c>
      <x:c r="C36" s="171" t="str">
        <x:f>IF(A36="","",COUNTIF('Home Depot'!$C$8:$C$1007,A36) + COUNTIF('Lowes'!$C$8:$C$1007,A36) + COUNTIF('Amazon'!$C$8:$C$1007,A36) + COUNTIF('Misc Vendors'!$C$8:$C$1007,A36) + COUNTIF('Future Blank'!$C$8:$C$1007,A36))</x:f>
      </x:c>
      <x:c r="E36" s="129" t="str">
        <x:v>January</x:v>
      </x:c>
      <x:c r="F36" s="129" t="str">
        <x:v>January</x:v>
      </x:c>
      <x:c r="G36" s="132" t="n">
        <x:f>'Home Depot'!C1011+'Lowes'!C1011+'Amazon'!C1011+'Misc Vendors'!C1011+'Future Blank'!C1011</x:f>
        <x:v>0</x:v>
      </x:c>
    </x:row>
    <x:row r="37">
      <x:c r="A37" s="169" t="str">
        <x:f>IF('Setup Lists'!A21="","",'Setup Lists'!A21)</x:f>
      </x:c>
      <x:c r="B37" s="170" t="str">
        <x:f>IF(A37="","",SUMIF('Home Depot'!$C$8:$C$1007,A37,'Home Depot'!$H$8:$H$1007) + SUMIF('Lowes'!$C$8:$C$1007,A37,'Lowes'!$H$8:$H$1007) + SUMIF('Amazon'!$C$8:$C$1007,A37,'Amazon'!$H$8:$H$1007) + SUMIF('Misc Vendors'!$C$8:$C$1007,A37,'Misc Vendors'!$H$8:$H$1007) + SUMIF('Future Blank'!$C$8:$C$1007,A37,'Future Blank'!$H$8:$H$1007))</x:f>
      </x:c>
      <x:c r="C37" s="171" t="str">
        <x:f>IF(A37="","",COUNTIF('Home Depot'!$C$8:$C$1007,A37) + COUNTIF('Lowes'!$C$8:$C$1007,A37) + COUNTIF('Amazon'!$C$8:$C$1007,A37) + COUNTIF('Misc Vendors'!$C$8:$C$1007,A37) + COUNTIF('Future Blank'!$C$8:$C$1007,A37))</x:f>
      </x:c>
      <x:c r="E37" s="129" t="str">
        <x:v>February</x:v>
      </x:c>
      <x:c r="F37" s="129" t="str">
        <x:v>February</x:v>
      </x:c>
      <x:c r="G37" s="132" t="n">
        <x:f>'Home Depot'!C1012+'Lowes'!C1012+'Amazon'!C1012+'Misc Vendors'!C1012+'Future Blank'!C1012</x:f>
        <x:v>0</x:v>
      </x:c>
    </x:row>
    <x:row r="38">
      <x:c r="A38" s="169" t="str">
        <x:f>IF('Setup Lists'!A22="","",'Setup Lists'!A22)</x:f>
      </x:c>
      <x:c r="B38" s="170" t="str">
        <x:f>IF(A38="","",SUMIF('Home Depot'!$C$8:$C$1007,A38,'Home Depot'!$H$8:$H$1007) + SUMIF('Lowes'!$C$8:$C$1007,A38,'Lowes'!$H$8:$H$1007) + SUMIF('Amazon'!$C$8:$C$1007,A38,'Amazon'!$H$8:$H$1007) + SUMIF('Misc Vendors'!$C$8:$C$1007,A38,'Misc Vendors'!$H$8:$H$1007) + SUMIF('Future Blank'!$C$8:$C$1007,A38,'Future Blank'!$H$8:$H$1007))</x:f>
      </x:c>
      <x:c r="C38" s="171" t="str">
        <x:f>IF(A38="","",COUNTIF('Home Depot'!$C$8:$C$1007,A38) + COUNTIF('Lowes'!$C$8:$C$1007,A38) + COUNTIF('Amazon'!$C$8:$C$1007,A38) + COUNTIF('Misc Vendors'!$C$8:$C$1007,A38) + COUNTIF('Future Blank'!$C$8:$C$1007,A38))</x:f>
      </x:c>
      <x:c r="E38" s="129" t="str">
        <x:v>March</x:v>
      </x:c>
      <x:c r="F38" s="129" t="str">
        <x:v>March</x:v>
      </x:c>
      <x:c r="G38" s="132" t="n">
        <x:f>'Home Depot'!C1013+'Lowes'!C1013+'Amazon'!C1013+'Misc Vendors'!C1013+'Future Blank'!C1013</x:f>
        <x:v>0</x:v>
      </x:c>
    </x:row>
    <x:row r="39">
      <x:c r="A39" s="169" t="str">
        <x:f>IF('Setup Lists'!A23="","",'Setup Lists'!A23)</x:f>
      </x:c>
      <x:c r="B39" s="170" t="str">
        <x:f>IF(A39="","",SUMIF('Home Depot'!$C$8:$C$1007,A39,'Home Depot'!$H$8:$H$1007) + SUMIF('Lowes'!$C$8:$C$1007,A39,'Lowes'!$H$8:$H$1007) + SUMIF('Amazon'!$C$8:$C$1007,A39,'Amazon'!$H$8:$H$1007) + SUMIF('Misc Vendors'!$C$8:$C$1007,A39,'Misc Vendors'!$H$8:$H$1007) + SUMIF('Future Blank'!$C$8:$C$1007,A39,'Future Blank'!$H$8:$H$1007))</x:f>
      </x:c>
      <x:c r="C39" s="171" t="str">
        <x:f>IF(A39="","",COUNTIF('Home Depot'!$C$8:$C$1007,A39) + COUNTIF('Lowes'!$C$8:$C$1007,A39) + COUNTIF('Amazon'!$C$8:$C$1007,A39) + COUNTIF('Misc Vendors'!$C$8:$C$1007,A39) + COUNTIF('Future Blank'!$C$8:$C$1007,A39))</x:f>
      </x:c>
      <x:c r="E39" s="129" t="str">
        <x:v>April</x:v>
      </x:c>
      <x:c r="F39" s="129" t="str">
        <x:v>April</x:v>
      </x:c>
      <x:c r="G39" s="132" t="n">
        <x:f>'Home Depot'!C1014+'Lowes'!C1014+'Amazon'!C1014+'Misc Vendors'!C1014+'Future Blank'!C1014</x:f>
        <x:v>0</x:v>
      </x:c>
    </x:row>
    <x:row r="40">
      <x:c r="A40" s="169" t="str">
        <x:f>IF('Setup Lists'!A24="","",'Setup Lists'!A24)</x:f>
      </x:c>
      <x:c r="B40" s="170" t="str">
        <x:f>IF(A40="","",SUMIF('Home Depot'!$C$8:$C$1007,A40,'Home Depot'!$H$8:$H$1007) + SUMIF('Lowes'!$C$8:$C$1007,A40,'Lowes'!$H$8:$H$1007) + SUMIF('Amazon'!$C$8:$C$1007,A40,'Amazon'!$H$8:$H$1007) + SUMIF('Misc Vendors'!$C$8:$C$1007,A40,'Misc Vendors'!$H$8:$H$1007) + SUMIF('Future Blank'!$C$8:$C$1007,A40,'Future Blank'!$H$8:$H$1007))</x:f>
      </x:c>
      <x:c r="C40" s="171" t="str">
        <x:f>IF(A40="","",COUNTIF('Home Depot'!$C$8:$C$1007,A40) + COUNTIF('Lowes'!$C$8:$C$1007,A40) + COUNTIF('Amazon'!$C$8:$C$1007,A40) + COUNTIF('Misc Vendors'!$C$8:$C$1007,A40) + COUNTIF('Future Blank'!$C$8:$C$1007,A40))</x:f>
      </x:c>
      <x:c r="E40" s="129" t="str">
        <x:v>May</x:v>
      </x:c>
      <x:c r="F40" s="129" t="str">
        <x:v>May</x:v>
      </x:c>
      <x:c r="G40" s="132" t="n">
        <x:f>'Home Depot'!C1015+'Lowes'!C1015+'Amazon'!C1015+'Misc Vendors'!C1015+'Future Blank'!C1015</x:f>
        <x:v>0</x:v>
      </x:c>
    </x:row>
    <x:row r="41">
      <x:c r="A41" s="169" t="str">
        <x:f>IF('Setup Lists'!A25="","",'Setup Lists'!A25)</x:f>
      </x:c>
      <x:c r="B41" s="170" t="str">
        <x:f>IF(A41="","",SUMIF('Home Depot'!$C$8:$C$1007,A41,'Home Depot'!$H$8:$H$1007) + SUMIF('Lowes'!$C$8:$C$1007,A41,'Lowes'!$H$8:$H$1007) + SUMIF('Amazon'!$C$8:$C$1007,A41,'Amazon'!$H$8:$H$1007) + SUMIF('Misc Vendors'!$C$8:$C$1007,A41,'Misc Vendors'!$H$8:$H$1007) + SUMIF('Future Blank'!$C$8:$C$1007,A41,'Future Blank'!$H$8:$H$1007))</x:f>
      </x:c>
      <x:c r="C41" s="171" t="str">
        <x:f>IF(A41="","",COUNTIF('Home Depot'!$C$8:$C$1007,A41) + COUNTIF('Lowes'!$C$8:$C$1007,A41) + COUNTIF('Amazon'!$C$8:$C$1007,A41) + COUNTIF('Misc Vendors'!$C$8:$C$1007,A41) + COUNTIF('Future Blank'!$C$8:$C$1007,A41))</x:f>
      </x:c>
      <x:c r="E41" s="129" t="str">
        <x:v>June</x:v>
      </x:c>
      <x:c r="F41" s="129" t="str">
        <x:v>June</x:v>
      </x:c>
      <x:c r="G41" s="132" t="n">
        <x:f>'Home Depot'!C1016+'Lowes'!C1016+'Amazon'!C1016+'Misc Vendors'!C1016+'Future Blank'!C1016</x:f>
        <x:v>0</x:v>
      </x:c>
    </x:row>
    <x:row r="42">
      <x:c r="A42" s="169" t="str">
        <x:f>IF('Setup Lists'!A26="","",'Setup Lists'!A26)</x:f>
      </x:c>
      <x:c r="B42" s="170" t="str">
        <x:f>IF(A42="","",SUMIF('Home Depot'!$C$8:$C$1007,A42,'Home Depot'!$H$8:$H$1007) + SUMIF('Lowes'!$C$8:$C$1007,A42,'Lowes'!$H$8:$H$1007) + SUMIF('Amazon'!$C$8:$C$1007,A42,'Amazon'!$H$8:$H$1007) + SUMIF('Misc Vendors'!$C$8:$C$1007,A42,'Misc Vendors'!$H$8:$H$1007) + SUMIF('Future Blank'!$C$8:$C$1007,A42,'Future Blank'!$H$8:$H$1007))</x:f>
      </x:c>
      <x:c r="C42" s="171" t="str">
        <x:f>IF(A42="","",COUNTIF('Home Depot'!$C$8:$C$1007,A42) + COUNTIF('Lowes'!$C$8:$C$1007,A42) + COUNTIF('Amazon'!$C$8:$C$1007,A42) + COUNTIF('Misc Vendors'!$C$8:$C$1007,A42) + COUNTIF('Future Blank'!$C$8:$C$1007,A42))</x:f>
      </x:c>
      <x:c r="E42" s="129" t="str">
        <x:v>July</x:v>
      </x:c>
      <x:c r="F42" s="129" t="str">
        <x:v>July</x:v>
      </x:c>
      <x:c r="G42" s="132" t="n">
        <x:f>'Home Depot'!C1017+'Lowes'!C1017+'Amazon'!C1017+'Misc Vendors'!C1017+'Future Blank'!C1017</x:f>
        <x:v>0</x:v>
      </x:c>
    </x:row>
    <x:row r="43">
      <x:c r="A43" s="169" t="str">
        <x:f>IF('Setup Lists'!A27="","",'Setup Lists'!A27)</x:f>
      </x:c>
      <x:c r="B43" s="170" t="str">
        <x:f>IF(A43="","",SUMIF('Home Depot'!$C$8:$C$1007,A43,'Home Depot'!$H$8:$H$1007) + SUMIF('Lowes'!$C$8:$C$1007,A43,'Lowes'!$H$8:$H$1007) + SUMIF('Amazon'!$C$8:$C$1007,A43,'Amazon'!$H$8:$H$1007) + SUMIF('Misc Vendors'!$C$8:$C$1007,A43,'Misc Vendors'!$H$8:$H$1007) + SUMIF('Future Blank'!$C$8:$C$1007,A43,'Future Blank'!$H$8:$H$1007))</x:f>
      </x:c>
      <x:c r="C43" s="171" t="str">
        <x:f>IF(A43="","",COUNTIF('Home Depot'!$C$8:$C$1007,A43) + COUNTIF('Lowes'!$C$8:$C$1007,A43) + COUNTIF('Amazon'!$C$8:$C$1007,A43) + COUNTIF('Misc Vendors'!$C$8:$C$1007,A43) + COUNTIF('Future Blank'!$C$8:$C$1007,A43))</x:f>
      </x:c>
      <x:c r="E43" s="129" t="str">
        <x:v>August</x:v>
      </x:c>
      <x:c r="F43" s="129" t="str">
        <x:v>August</x:v>
      </x:c>
      <x:c r="G43" s="132" t="n">
        <x:f>'Home Depot'!C1018+'Lowes'!C1018+'Amazon'!C1018+'Misc Vendors'!C1018+'Future Blank'!C1018</x:f>
        <x:v>0</x:v>
      </x:c>
    </x:row>
    <x:row r="44">
      <x:c r="A44" s="169" t="str">
        <x:f>IF('Setup Lists'!A28="","",'Setup Lists'!A28)</x:f>
      </x:c>
      <x:c r="B44" s="170" t="str">
        <x:f>IF(A44="","",SUMIF('Home Depot'!$C$8:$C$1007,A44,'Home Depot'!$H$8:$H$1007) + SUMIF('Lowes'!$C$8:$C$1007,A44,'Lowes'!$H$8:$H$1007) + SUMIF('Amazon'!$C$8:$C$1007,A44,'Amazon'!$H$8:$H$1007) + SUMIF('Misc Vendors'!$C$8:$C$1007,A44,'Misc Vendors'!$H$8:$H$1007) + SUMIF('Future Blank'!$C$8:$C$1007,A44,'Future Blank'!$H$8:$H$1007))</x:f>
      </x:c>
      <x:c r="C44" s="171" t="str">
        <x:f>IF(A44="","",COUNTIF('Home Depot'!$C$8:$C$1007,A44) + COUNTIF('Lowes'!$C$8:$C$1007,A44) + COUNTIF('Amazon'!$C$8:$C$1007,A44) + COUNTIF('Misc Vendors'!$C$8:$C$1007,A44) + COUNTIF('Future Blank'!$C$8:$C$1007,A44))</x:f>
      </x:c>
      <x:c r="E44" s="129" t="str">
        <x:v>September</x:v>
      </x:c>
      <x:c r="F44" s="129" t="str">
        <x:v>September</x:v>
      </x:c>
      <x:c r="G44" s="132" t="n">
        <x:f>'Home Depot'!C1019+'Lowes'!C1019+'Amazon'!C1019+'Misc Vendors'!C1019+'Future Blank'!C1019</x:f>
        <x:v>0</x:v>
      </x:c>
    </x:row>
    <x:row r="45">
      <x:c r="A45" s="169" t="str">
        <x:f>IF('Setup Lists'!A29="","",'Setup Lists'!A29)</x:f>
      </x:c>
      <x:c r="B45" s="170" t="str">
        <x:f>IF(A45="","",SUMIF('Home Depot'!$C$8:$C$1007,A45,'Home Depot'!$H$8:$H$1007) + SUMIF('Lowes'!$C$8:$C$1007,A45,'Lowes'!$H$8:$H$1007) + SUMIF('Amazon'!$C$8:$C$1007,A45,'Amazon'!$H$8:$H$1007) + SUMIF('Misc Vendors'!$C$8:$C$1007,A45,'Misc Vendors'!$H$8:$H$1007) + SUMIF('Future Blank'!$C$8:$C$1007,A45,'Future Blank'!$H$8:$H$1007))</x:f>
      </x:c>
      <x:c r="C45" s="171" t="str">
        <x:f>IF(A45="","",COUNTIF('Home Depot'!$C$8:$C$1007,A45) + COUNTIF('Lowes'!$C$8:$C$1007,A45) + COUNTIF('Amazon'!$C$8:$C$1007,A45) + COUNTIF('Misc Vendors'!$C$8:$C$1007,A45) + COUNTIF('Future Blank'!$C$8:$C$1007,A45))</x:f>
      </x:c>
      <x:c r="E45" s="129" t="str">
        <x:v>October</x:v>
      </x:c>
      <x:c r="F45" s="129" t="str">
        <x:v>October</x:v>
      </x:c>
      <x:c r="G45" s="132" t="n">
        <x:f>'Home Depot'!C1020+'Lowes'!C1020+'Amazon'!C1020+'Misc Vendors'!C1020+'Future Blank'!C1020</x:f>
        <x:v>0</x:v>
      </x:c>
    </x:row>
    <x:row r="46">
      <x:c r="A46" s="169" t="str">
        <x:f>IF('Setup Lists'!A30="","",'Setup Lists'!A30)</x:f>
      </x:c>
      <x:c r="B46" s="170" t="str">
        <x:f>IF(A46="","",SUMIF('Home Depot'!$C$8:$C$1007,A46,'Home Depot'!$H$8:$H$1007) + SUMIF('Lowes'!$C$8:$C$1007,A46,'Lowes'!$H$8:$H$1007) + SUMIF('Amazon'!$C$8:$C$1007,A46,'Amazon'!$H$8:$H$1007) + SUMIF('Misc Vendors'!$C$8:$C$1007,A46,'Misc Vendors'!$H$8:$H$1007) + SUMIF('Future Blank'!$C$8:$C$1007,A46,'Future Blank'!$H$8:$H$1007))</x:f>
      </x:c>
      <x:c r="C46" s="171" t="str">
        <x:f>IF(A46="","",COUNTIF('Home Depot'!$C$8:$C$1007,A46) + COUNTIF('Lowes'!$C$8:$C$1007,A46) + COUNTIF('Amazon'!$C$8:$C$1007,A46) + COUNTIF('Misc Vendors'!$C$8:$C$1007,A46) + COUNTIF('Future Blank'!$C$8:$C$1007,A46))</x:f>
      </x:c>
      <x:c r="E46" s="129" t="str">
        <x:v>November</x:v>
      </x:c>
      <x:c r="F46" s="129" t="str">
        <x:v>November</x:v>
      </x:c>
      <x:c r="G46" s="132" t="n">
        <x:f>'Home Depot'!C1021+'Lowes'!C1021+'Amazon'!C1021+'Misc Vendors'!C1021+'Future Blank'!C1021</x:f>
        <x:v>0</x:v>
      </x:c>
    </x:row>
    <x:row r="47">
      <x:c r="A47" s="169" t="str">
        <x:f>IF('Setup Lists'!A31="","",'Setup Lists'!A31)</x:f>
      </x:c>
      <x:c r="B47" s="170" t="str">
        <x:f>IF(A47="","",SUMIF('Home Depot'!$C$8:$C$1007,A47,'Home Depot'!$H$8:$H$1007) + SUMIF('Lowes'!$C$8:$C$1007,A47,'Lowes'!$H$8:$H$1007) + SUMIF('Amazon'!$C$8:$C$1007,A47,'Amazon'!$H$8:$H$1007) + SUMIF('Misc Vendors'!$C$8:$C$1007,A47,'Misc Vendors'!$H$8:$H$1007) + SUMIF('Future Blank'!$C$8:$C$1007,A47,'Future Blank'!$H$8:$H$1007))</x:f>
      </x:c>
      <x:c r="C47" s="171" t="str">
        <x:f>IF(A47="","",COUNTIF('Home Depot'!$C$8:$C$1007,A47) + COUNTIF('Lowes'!$C$8:$C$1007,A47) + COUNTIF('Amazon'!$C$8:$C$1007,A47) + COUNTIF('Misc Vendors'!$C$8:$C$1007,A47) + COUNTIF('Future Blank'!$C$8:$C$1007,A47))</x:f>
      </x:c>
      <x:c r="E47" s="129" t="str">
        <x:v>December</x:v>
      </x:c>
      <x:c r="F47" s="129" t="str">
        <x:v>December</x:v>
      </x:c>
      <x:c r="G47" s="132" t="n">
        <x:f>'Home Depot'!C1022+'Lowes'!C1022+'Amazon'!C1022+'Misc Vendors'!C1022+'Future Blank'!C1022</x:f>
        <x:v>0</x:v>
      </x:c>
    </x:row>
    <x:row r="48">
      <x:c r="A48" s="169" t="str">
        <x:f>IF('Setup Lists'!A32="","",'Setup Lists'!A32)</x:f>
      </x:c>
      <x:c r="B48" s="170" t="str">
        <x:f>IF(A48="","",SUMIF('Home Depot'!$C$8:$C$1007,A48,'Home Depot'!$H$8:$H$1007) + SUMIF('Lowes'!$C$8:$C$1007,A48,'Lowes'!$H$8:$H$1007) + SUMIF('Amazon'!$C$8:$C$1007,A48,'Amazon'!$H$8:$H$1007) + SUMIF('Misc Vendors'!$C$8:$C$1007,A48,'Misc Vendors'!$H$8:$H$1007) + SUMIF('Future Blank'!$C$8:$C$1007,A48,'Future Blank'!$H$8:$H$1007))</x:f>
      </x:c>
      <x:c r="C48" s="171" t="str">
        <x:f>IF(A48="","",COUNTIF('Home Depot'!$C$8:$C$1007,A48) + COUNTIF('Lowes'!$C$8:$C$1007,A48) + COUNTIF('Amazon'!$C$8:$C$1007,A48) + COUNTIF('Misc Vendors'!$C$8:$C$1007,A48) + COUNTIF('Future Blank'!$C$8:$C$1007,A48))</x:f>
      </x:c>
    </x:row>
    <x:row r="49">
      <x:c r="A49" s="169" t="str">
        <x:f>IF('Setup Lists'!A33="","",'Setup Lists'!A33)</x:f>
      </x:c>
      <x:c r="B49" s="170" t="str">
        <x:f>IF(A49="","",SUMIF('Home Depot'!$C$8:$C$1007,A49,'Home Depot'!$H$8:$H$1007) + SUMIF('Lowes'!$C$8:$C$1007,A49,'Lowes'!$H$8:$H$1007) + SUMIF('Amazon'!$C$8:$C$1007,A49,'Amazon'!$H$8:$H$1007) + SUMIF('Misc Vendors'!$C$8:$C$1007,A49,'Misc Vendors'!$H$8:$H$1007) + SUMIF('Future Blank'!$C$8:$C$1007,A49,'Future Blank'!$H$8:$H$1007))</x:f>
      </x:c>
      <x:c r="C49" s="171" t="str">
        <x:f>IF(A49="","",COUNTIF('Home Depot'!$C$8:$C$1007,A49) + COUNTIF('Lowes'!$C$8:$C$1007,A49) + COUNTIF('Amazon'!$C$8:$C$1007,A49) + COUNTIF('Misc Vendors'!$C$8:$C$1007,A49) + COUNTIF('Future Blank'!$C$8:$C$1007,A49))</x:f>
      </x:c>
    </x:row>
    <x:row r="50">
      <x:c r="A50" s="169" t="str">
        <x:f>IF('Setup Lists'!A34="","",'Setup Lists'!A34)</x:f>
      </x:c>
      <x:c r="B50" s="170" t="str">
        <x:f>IF(A50="","",SUMIF('Home Depot'!$C$8:$C$1007,A50,'Home Depot'!$H$8:$H$1007) + SUMIF('Lowes'!$C$8:$C$1007,A50,'Lowes'!$H$8:$H$1007) + SUMIF('Amazon'!$C$8:$C$1007,A50,'Amazon'!$H$8:$H$1007) + SUMIF('Misc Vendors'!$C$8:$C$1007,A50,'Misc Vendors'!$H$8:$H$1007) + SUMIF('Future Blank'!$C$8:$C$1007,A50,'Future Blank'!$H$8:$H$1007))</x:f>
      </x:c>
      <x:c r="C50" s="171" t="str">
        <x:f>IF(A50="","",COUNTIF('Home Depot'!$C$8:$C$1007,A50) + COUNTIF('Lowes'!$C$8:$C$1007,A50) + COUNTIF('Amazon'!$C$8:$C$1007,A50) + COUNTIF('Misc Vendors'!$C$8:$C$1007,A50) + COUNTIF('Future Blank'!$C$8:$C$1007,A50))</x:f>
      </x:c>
    </x:row>
    <x:row r="51">
      <x:c r="A51" s="169" t="str">
        <x:f>IF('Setup Lists'!A35="","",'Setup Lists'!A35)</x:f>
      </x:c>
      <x:c r="B51" s="170" t="str">
        <x:f>IF(A51="","",SUMIF('Home Depot'!$C$8:$C$1007,A51,'Home Depot'!$H$8:$H$1007) + SUMIF('Lowes'!$C$8:$C$1007,A51,'Lowes'!$H$8:$H$1007) + SUMIF('Amazon'!$C$8:$C$1007,A51,'Amazon'!$H$8:$H$1007) + SUMIF('Misc Vendors'!$C$8:$C$1007,A51,'Misc Vendors'!$H$8:$H$1007) + SUMIF('Future Blank'!$C$8:$C$1007,A51,'Future Blank'!$H$8:$H$1007))</x:f>
      </x:c>
      <x:c r="C51" s="171" t="str">
        <x:f>IF(A51="","",COUNTIF('Home Depot'!$C$8:$C$1007,A51) + COUNTIF('Lowes'!$C$8:$C$1007,A51) + COUNTIF('Amazon'!$C$8:$C$1007,A51) + COUNTIF('Misc Vendors'!$C$8:$C$1007,A51) + COUNTIF('Future Blank'!$C$8:$C$1007,A51))</x:f>
      </x:c>
    </x:row>
    <x:row r="52">
      <x:c r="A52" s="169" t="str">
        <x:f>IF('Setup Lists'!A36="","",'Setup Lists'!A36)</x:f>
      </x:c>
      <x:c r="B52" s="170" t="str">
        <x:f>IF(A52="","",SUMIF('Home Depot'!$C$8:$C$1007,A52,'Home Depot'!$H$8:$H$1007) + SUMIF('Lowes'!$C$8:$C$1007,A52,'Lowes'!$H$8:$H$1007) + SUMIF('Amazon'!$C$8:$C$1007,A52,'Amazon'!$H$8:$H$1007) + SUMIF('Misc Vendors'!$C$8:$C$1007,A52,'Misc Vendors'!$H$8:$H$1007) + SUMIF('Future Blank'!$C$8:$C$1007,A52,'Future Blank'!$H$8:$H$1007))</x:f>
      </x:c>
      <x:c r="C52" s="171" t="str">
        <x:f>IF(A52="","",COUNTIF('Home Depot'!$C$8:$C$1007,A52) + COUNTIF('Lowes'!$C$8:$C$1007,A52) + COUNTIF('Amazon'!$C$8:$C$1007,A52) + COUNTIF('Misc Vendors'!$C$8:$C$1007,A52) + COUNTIF('Future Blank'!$C$8:$C$1007,A52))</x:f>
      </x:c>
    </x:row>
    <x:row r="53">
      <x:c r="A53" s="169" t="str">
        <x:f>IF('Setup Lists'!A37="","",'Setup Lists'!A37)</x:f>
      </x:c>
      <x:c r="B53" s="170" t="str">
        <x:f>IF(A53="","",SUMIF('Home Depot'!$C$8:$C$1007,A53,'Home Depot'!$H$8:$H$1007) + SUMIF('Lowes'!$C$8:$C$1007,A53,'Lowes'!$H$8:$H$1007) + SUMIF('Amazon'!$C$8:$C$1007,A53,'Amazon'!$H$8:$H$1007) + SUMIF('Misc Vendors'!$C$8:$C$1007,A53,'Misc Vendors'!$H$8:$H$1007) + SUMIF('Future Blank'!$C$8:$C$1007,A53,'Future Blank'!$H$8:$H$1007))</x:f>
      </x:c>
      <x:c r="C53" s="171" t="str">
        <x:f>IF(A53="","",COUNTIF('Home Depot'!$C$8:$C$1007,A53) + COUNTIF('Lowes'!$C$8:$C$1007,A53) + COUNTIF('Amazon'!$C$8:$C$1007,A53) + COUNTIF('Misc Vendors'!$C$8:$C$1007,A53) + COUNTIF('Future Blank'!$C$8:$C$1007,A53))</x:f>
      </x:c>
    </x:row>
    <x:row r="54">
      <x:c r="A54" s="169" t="str">
        <x:f>IF('Setup Lists'!A38="","",'Setup Lists'!A38)</x:f>
      </x:c>
      <x:c r="B54" s="170" t="str">
        <x:f>IF(A54="","",SUMIF('Home Depot'!$C$8:$C$1007,A54,'Home Depot'!$H$8:$H$1007) + SUMIF('Lowes'!$C$8:$C$1007,A54,'Lowes'!$H$8:$H$1007) + SUMIF('Amazon'!$C$8:$C$1007,A54,'Amazon'!$H$8:$H$1007) + SUMIF('Misc Vendors'!$C$8:$C$1007,A54,'Misc Vendors'!$H$8:$H$1007) + SUMIF('Future Blank'!$C$8:$C$1007,A54,'Future Blank'!$H$8:$H$1007))</x:f>
      </x:c>
      <x:c r="C54" s="171" t="str">
        <x:f>IF(A54="","",COUNTIF('Home Depot'!$C$8:$C$1007,A54) + COUNTIF('Lowes'!$C$8:$C$1007,A54) + COUNTIF('Amazon'!$C$8:$C$1007,A54) + COUNTIF('Misc Vendors'!$C$8:$C$1007,A54) + COUNTIF('Future Blank'!$C$8:$C$1007,A54))</x:f>
      </x:c>
    </x:row>
    <x:row r="55">
      <x:c r="A55" s="169" t="str">
        <x:f>IF('Setup Lists'!A39="","",'Setup Lists'!A39)</x:f>
      </x:c>
      <x:c r="B55" s="170" t="str">
        <x:f>IF(A55="","",SUMIF('Home Depot'!$C$8:$C$1007,A55,'Home Depot'!$H$8:$H$1007) + SUMIF('Lowes'!$C$8:$C$1007,A55,'Lowes'!$H$8:$H$1007) + SUMIF('Amazon'!$C$8:$C$1007,A55,'Amazon'!$H$8:$H$1007) + SUMIF('Misc Vendors'!$C$8:$C$1007,A55,'Misc Vendors'!$H$8:$H$1007) + SUMIF('Future Blank'!$C$8:$C$1007,A55,'Future Blank'!$H$8:$H$1007))</x:f>
      </x:c>
      <x:c r="C55" s="171" t="str">
        <x:f>IF(A55="","",COUNTIF('Home Depot'!$C$8:$C$1007,A55) + COUNTIF('Lowes'!$C$8:$C$1007,A55) + COUNTIF('Amazon'!$C$8:$C$1007,A55) + COUNTIF('Misc Vendors'!$C$8:$C$1007,A55) + COUNTIF('Future Blank'!$C$8:$C$1007,A55))</x:f>
      </x:c>
    </x:row>
    <x:row r="56">
      <x:c r="A56" s="169" t="str">
        <x:f>IF('Setup Lists'!A40="","",'Setup Lists'!A40)</x:f>
      </x:c>
      <x:c r="B56" s="170" t="str">
        <x:f>IF(A56="","",SUMIF('Home Depot'!$C$8:$C$1007,A56,'Home Depot'!$H$8:$H$1007) + SUMIF('Lowes'!$C$8:$C$1007,A56,'Lowes'!$H$8:$H$1007) + SUMIF('Amazon'!$C$8:$C$1007,A56,'Amazon'!$H$8:$H$1007) + SUMIF('Misc Vendors'!$C$8:$C$1007,A56,'Misc Vendors'!$H$8:$H$1007) + SUMIF('Future Blank'!$C$8:$C$1007,A56,'Future Blank'!$H$8:$H$1007))</x:f>
      </x:c>
      <x:c r="C56" s="171" t="str">
        <x:f>IF(A56="","",COUNTIF('Home Depot'!$C$8:$C$1007,A56) + COUNTIF('Lowes'!$C$8:$C$1007,A56) + COUNTIF('Amazon'!$C$8:$C$1007,A56) + COUNTIF('Misc Vendors'!$C$8:$C$1007,A56) + COUNTIF('Future Blank'!$C$8:$C$1007,A56))</x:f>
      </x:c>
    </x:row>
    <x:row r="57">
      <x:c r="A57" s="169" t="str">
        <x:f>IF('Setup Lists'!A41="","",'Setup Lists'!A41)</x:f>
      </x:c>
      <x:c r="B57" s="170" t="str">
        <x:f>IF(A57="","",SUMIF('Home Depot'!$C$8:$C$1007,A57,'Home Depot'!$H$8:$H$1007) + SUMIF('Lowes'!$C$8:$C$1007,A57,'Lowes'!$H$8:$H$1007) + SUMIF('Amazon'!$C$8:$C$1007,A57,'Amazon'!$H$8:$H$1007) + SUMIF('Misc Vendors'!$C$8:$C$1007,A57,'Misc Vendors'!$H$8:$H$1007) + SUMIF('Future Blank'!$C$8:$C$1007,A57,'Future Blank'!$H$8:$H$1007))</x:f>
      </x:c>
      <x:c r="C57" s="171" t="str">
        <x:f>IF(A57="","",COUNTIF('Home Depot'!$C$8:$C$1007,A57) + COUNTIF('Lowes'!$C$8:$C$1007,A57) + COUNTIF('Amazon'!$C$8:$C$1007,A57) + COUNTIF('Misc Vendors'!$C$8:$C$1007,A57) + COUNTIF('Future Blank'!$C$8:$C$1007,A57))</x:f>
      </x:c>
    </x:row>
    <x:row r="58">
      <x:c r="A58" s="169" t="str">
        <x:f>IF('Setup Lists'!A42="","",'Setup Lists'!A42)</x:f>
      </x:c>
      <x:c r="B58" s="170" t="str">
        <x:f>IF(A58="","",SUMIF('Home Depot'!$C$8:$C$1007,A58,'Home Depot'!$H$8:$H$1007) + SUMIF('Lowes'!$C$8:$C$1007,A58,'Lowes'!$H$8:$H$1007) + SUMIF('Amazon'!$C$8:$C$1007,A58,'Amazon'!$H$8:$H$1007) + SUMIF('Misc Vendors'!$C$8:$C$1007,A58,'Misc Vendors'!$H$8:$H$1007) + SUMIF('Future Blank'!$C$8:$C$1007,A58,'Future Blank'!$H$8:$H$1007))</x:f>
      </x:c>
      <x:c r="C58" s="171" t="str">
        <x:f>IF(A58="","",COUNTIF('Home Depot'!$C$8:$C$1007,A58) + COUNTIF('Lowes'!$C$8:$C$1007,A58) + COUNTIF('Amazon'!$C$8:$C$1007,A58) + COUNTIF('Misc Vendors'!$C$8:$C$1007,A58) + COUNTIF('Future Blank'!$C$8:$C$1007,A58))</x:f>
      </x:c>
    </x:row>
    <x:row r="59">
      <x:c r="A59" s="169" t="str">
        <x:f>IF('Setup Lists'!A43="","",'Setup Lists'!A43)</x:f>
      </x:c>
      <x:c r="B59" s="170" t="str">
        <x:f>IF(A59="","",SUMIF('Home Depot'!$C$8:$C$1007,A59,'Home Depot'!$H$8:$H$1007) + SUMIF('Lowes'!$C$8:$C$1007,A59,'Lowes'!$H$8:$H$1007) + SUMIF('Amazon'!$C$8:$C$1007,A59,'Amazon'!$H$8:$H$1007) + SUMIF('Misc Vendors'!$C$8:$C$1007,A59,'Misc Vendors'!$H$8:$H$1007) + SUMIF('Future Blank'!$C$8:$C$1007,A59,'Future Blank'!$H$8:$H$1007))</x:f>
      </x:c>
      <x:c r="C59" s="171" t="str">
        <x:f>IF(A59="","",COUNTIF('Home Depot'!$C$8:$C$1007,A59) + COUNTIF('Lowes'!$C$8:$C$1007,A59) + COUNTIF('Amazon'!$C$8:$C$1007,A59) + COUNTIF('Misc Vendors'!$C$8:$C$1007,A59) + COUNTIF('Future Blank'!$C$8:$C$1007,A59))</x:f>
      </x:c>
    </x:row>
    <x:row r="60">
      <x:c r="A60" s="169" t="str">
        <x:f>IF('Setup Lists'!A44="","",'Setup Lists'!A44)</x:f>
      </x:c>
      <x:c r="B60" s="170" t="str">
        <x:f>IF(A60="","",SUMIF('Home Depot'!$C$8:$C$1007,A60,'Home Depot'!$H$8:$H$1007) + SUMIF('Lowes'!$C$8:$C$1007,A60,'Lowes'!$H$8:$H$1007) + SUMIF('Amazon'!$C$8:$C$1007,A60,'Amazon'!$H$8:$H$1007) + SUMIF('Misc Vendors'!$C$8:$C$1007,A60,'Misc Vendors'!$H$8:$H$1007) + SUMIF('Future Blank'!$C$8:$C$1007,A60,'Future Blank'!$H$8:$H$1007))</x:f>
      </x:c>
      <x:c r="C60" s="171" t="str">
        <x:f>IF(A60="","",COUNTIF('Home Depot'!$C$8:$C$1007,A60) + COUNTIF('Lowes'!$C$8:$C$1007,A60) + COUNTIF('Amazon'!$C$8:$C$1007,A60) + COUNTIF('Misc Vendors'!$C$8:$C$1007,A60) + COUNTIF('Future Blank'!$C$8:$C$1007,A60))</x:f>
      </x:c>
    </x:row>
    <x:row r="61">
      <x:c r="A61" s="169" t="str">
        <x:f>IF('Setup Lists'!A45="","",'Setup Lists'!A45)</x:f>
      </x:c>
      <x:c r="B61" s="170" t="str">
        <x:f>IF(A61="","",SUMIF('Home Depot'!$C$8:$C$1007,A61,'Home Depot'!$H$8:$H$1007) + SUMIF('Lowes'!$C$8:$C$1007,A61,'Lowes'!$H$8:$H$1007) + SUMIF('Amazon'!$C$8:$C$1007,A61,'Amazon'!$H$8:$H$1007) + SUMIF('Misc Vendors'!$C$8:$C$1007,A61,'Misc Vendors'!$H$8:$H$1007) + SUMIF('Future Blank'!$C$8:$C$1007,A61,'Future Blank'!$H$8:$H$1007))</x:f>
      </x:c>
      <x:c r="C61" s="171" t="str">
        <x:f>IF(A61="","",COUNTIF('Home Depot'!$C$8:$C$1007,A61) + COUNTIF('Lowes'!$C$8:$C$1007,A61) + COUNTIF('Amazon'!$C$8:$C$1007,A61) + COUNTIF('Misc Vendors'!$C$8:$C$1007,A61) + COUNTIF('Future Blank'!$C$8:$C$1007,A61))</x:f>
      </x:c>
    </x:row>
    <x:row r="62">
      <x:c r="A62" s="169" t="str">
        <x:f>IF('Setup Lists'!A46="","",'Setup Lists'!A46)</x:f>
      </x:c>
      <x:c r="B62" s="170" t="str">
        <x:f>IF(A62="","",SUMIF('Home Depot'!$C$8:$C$1007,A62,'Home Depot'!$H$8:$H$1007) + SUMIF('Lowes'!$C$8:$C$1007,A62,'Lowes'!$H$8:$H$1007) + SUMIF('Amazon'!$C$8:$C$1007,A62,'Amazon'!$H$8:$H$1007) + SUMIF('Misc Vendors'!$C$8:$C$1007,A62,'Misc Vendors'!$H$8:$H$1007) + SUMIF('Future Blank'!$C$8:$C$1007,A62,'Future Blank'!$H$8:$H$1007))</x:f>
      </x:c>
      <x:c r="C62" s="171" t="str">
        <x:f>IF(A62="","",COUNTIF('Home Depot'!$C$8:$C$1007,A62) + COUNTIF('Lowes'!$C$8:$C$1007,A62) + COUNTIF('Amazon'!$C$8:$C$1007,A62) + COUNTIF('Misc Vendors'!$C$8:$C$1007,A62) + COUNTIF('Future Blank'!$C$8:$C$1007,A62))</x:f>
      </x:c>
    </x:row>
    <x:row r="63">
      <x:c r="A63" s="169" t="str">
        <x:f>IF('Setup Lists'!A47="","",'Setup Lists'!A47)</x:f>
      </x:c>
      <x:c r="B63" s="170" t="str">
        <x:f>IF(A63="","",SUMIF('Home Depot'!$C$8:$C$1007,A63,'Home Depot'!$H$8:$H$1007) + SUMIF('Lowes'!$C$8:$C$1007,A63,'Lowes'!$H$8:$H$1007) + SUMIF('Amazon'!$C$8:$C$1007,A63,'Amazon'!$H$8:$H$1007) + SUMIF('Misc Vendors'!$C$8:$C$1007,A63,'Misc Vendors'!$H$8:$H$1007) + SUMIF('Future Blank'!$C$8:$C$1007,A63,'Future Blank'!$H$8:$H$1007))</x:f>
      </x:c>
      <x:c r="C63" s="171" t="str">
        <x:f>IF(A63="","",COUNTIF('Home Depot'!$C$8:$C$1007,A63) + COUNTIF('Lowes'!$C$8:$C$1007,A63) + COUNTIF('Amazon'!$C$8:$C$1007,A63) + COUNTIF('Misc Vendors'!$C$8:$C$1007,A63) + COUNTIF('Future Blank'!$C$8:$C$1007,A63))</x:f>
      </x:c>
    </x:row>
    <x:row r="64">
      <x:c r="A64" s="169" t="str">
        <x:f>IF('Setup Lists'!A48="","",'Setup Lists'!A48)</x:f>
      </x:c>
      <x:c r="B64" s="170" t="str">
        <x:f>IF(A64="","",SUMIF('Home Depot'!$C$8:$C$1007,A64,'Home Depot'!$H$8:$H$1007) + SUMIF('Lowes'!$C$8:$C$1007,A64,'Lowes'!$H$8:$H$1007) + SUMIF('Amazon'!$C$8:$C$1007,A64,'Amazon'!$H$8:$H$1007) + SUMIF('Misc Vendors'!$C$8:$C$1007,A64,'Misc Vendors'!$H$8:$H$1007) + SUMIF('Future Blank'!$C$8:$C$1007,A64,'Future Blank'!$H$8:$H$1007))</x:f>
      </x:c>
      <x:c r="C64" s="171" t="str">
        <x:f>IF(A64="","",COUNTIF('Home Depot'!$C$8:$C$1007,A64) + COUNTIF('Lowes'!$C$8:$C$1007,A64) + COUNTIF('Amazon'!$C$8:$C$1007,A64) + COUNTIF('Misc Vendors'!$C$8:$C$1007,A64) + COUNTIF('Future Blank'!$C$8:$C$1007,A64))</x:f>
      </x:c>
    </x:row>
    <x:row r="65">
      <x:c r="A65" s="169" t="str">
        <x:f>IF('Setup Lists'!A49="","",'Setup Lists'!A49)</x:f>
      </x:c>
      <x:c r="B65" s="170" t="str">
        <x:f>IF(A65="","",SUMIF('Home Depot'!$C$8:$C$1007,A65,'Home Depot'!$H$8:$H$1007) + SUMIF('Lowes'!$C$8:$C$1007,A65,'Lowes'!$H$8:$H$1007) + SUMIF('Amazon'!$C$8:$C$1007,A65,'Amazon'!$H$8:$H$1007) + SUMIF('Misc Vendors'!$C$8:$C$1007,A65,'Misc Vendors'!$H$8:$H$1007) + SUMIF('Future Blank'!$C$8:$C$1007,A65,'Future Blank'!$H$8:$H$1007))</x:f>
      </x:c>
      <x:c r="C65" s="171" t="str">
        <x:f>IF(A65="","",COUNTIF('Home Depot'!$C$8:$C$1007,A65) + COUNTIF('Lowes'!$C$8:$C$1007,A65) + COUNTIF('Amazon'!$C$8:$C$1007,A65) + COUNTIF('Misc Vendors'!$C$8:$C$1007,A65) + COUNTIF('Future Blank'!$C$8:$C$1007,A65))</x:f>
      </x:c>
    </x:row>
    <x:row r="66">
      <x:c r="A66" s="169" t="str">
        <x:f>IF('Setup Lists'!A50="","",'Setup Lists'!A50)</x:f>
      </x:c>
      <x:c r="B66" s="170" t="str">
        <x:f>IF(A66="","",SUMIF('Home Depot'!$C$8:$C$1007,A66,'Home Depot'!$H$8:$H$1007) + SUMIF('Lowes'!$C$8:$C$1007,A66,'Lowes'!$H$8:$H$1007) + SUMIF('Amazon'!$C$8:$C$1007,A66,'Amazon'!$H$8:$H$1007) + SUMIF('Misc Vendors'!$C$8:$C$1007,A66,'Misc Vendors'!$H$8:$H$1007) + SUMIF('Future Blank'!$C$8:$C$1007,A66,'Future Blank'!$H$8:$H$1007))</x:f>
      </x:c>
      <x:c r="C66" s="171" t="str">
        <x:f>IF(A66="","",COUNTIF('Home Depot'!$C$8:$C$1007,A66) + COUNTIF('Lowes'!$C$8:$C$1007,A66) + COUNTIF('Amazon'!$C$8:$C$1007,A66) + COUNTIF('Misc Vendors'!$C$8:$C$1007,A66) + COUNTIF('Future Blank'!$C$8:$C$1007,A66))</x:f>
      </x:c>
    </x:row>
    <x:row r="67">
      <x:c r="A67" s="169" t="str">
        <x:f>IF('Setup Lists'!A51="","",'Setup Lists'!A51)</x:f>
      </x:c>
      <x:c r="B67" s="170" t="str">
        <x:f>IF(A67="","",SUMIF('Home Depot'!$C$8:$C$1007,A67,'Home Depot'!$H$8:$H$1007) + SUMIF('Lowes'!$C$8:$C$1007,A67,'Lowes'!$H$8:$H$1007) + SUMIF('Amazon'!$C$8:$C$1007,A67,'Amazon'!$H$8:$H$1007) + SUMIF('Misc Vendors'!$C$8:$C$1007,A67,'Misc Vendors'!$H$8:$H$1007) + SUMIF('Future Blank'!$C$8:$C$1007,A67,'Future Blank'!$H$8:$H$1007))</x:f>
      </x:c>
      <x:c r="C67" s="171" t="str">
        <x:f>IF(A67="","",COUNTIF('Home Depot'!$C$8:$C$1007,A67) + COUNTIF('Lowes'!$C$8:$C$1007,A67) + COUNTIF('Amazon'!$C$8:$C$1007,A67) + COUNTIF('Misc Vendors'!$C$8:$C$1007,A67) + COUNTIF('Future Blank'!$C$8:$C$1007,A67))</x:f>
      </x:c>
    </x:row>
    <x:row r="68">
      <x:c r="A68" s="162" t="str">
        <x:f>IF('Setup Lists'!A52="","",'Setup Lists'!A52)</x:f>
      </x:c>
      <x:c r="B68" s="172" t="str">
        <x:f>IF(A68="","",SUMIF('Home Depot'!$C$8:$C$1007,A68,'Home Depot'!$H$8:$H$1007) + SUMIF('Lowes'!$C$8:$C$1007,A68,'Lowes'!$H$8:$H$1007) + SUMIF('Amazon'!$C$8:$C$1007,A68,'Amazon'!$H$8:$H$1007) + SUMIF('Misc Vendors'!$C$8:$C$1007,A68,'Misc Vendors'!$H$8:$H$1007) + SUMIF('Future Blank'!$C$8:$C$1007,A68,'Future Blank'!$H$8:$H$1007))</x:f>
      </x:c>
      <x:c r="C68" s="173" t="str">
        <x:f>IF(A68="","",COUNTIF('Home Depot'!$C$8:$C$1007,A68) + COUNTIF('Lowes'!$C$8:$C$1007,A68) + COUNTIF('Amazon'!$C$8:$C$1007,A68) + COUNTIF('Misc Vendors'!$C$8:$C$1007,A68) + COUNTIF('Future Blank'!$C$8:$C$1007,A68))</x:f>
      </x:c>
    </x:row>
    <x:row r="69">
      <x:c r="A69" s="162" t="str">
        <x:f>IF('Setup Lists'!A53="","",'Setup Lists'!A53)</x:f>
      </x:c>
      <x:c r="B69" s="172" t="str">
        <x:f>IF(A69="","",SUMIF('Home Depot'!$C$8:$C$1007,A69,'Home Depot'!$H$8:$H$1007) + SUMIF('Lowes'!$C$8:$C$1007,A69,'Lowes'!$H$8:$H$1007) + SUMIF('Amazon'!$C$8:$C$1007,A69,'Amazon'!$H$8:$H$1007) + SUMIF('Misc Vendors'!$C$8:$C$1007,A69,'Misc Vendors'!$H$8:$H$1007) + SUMIF('Future Blank'!$C$8:$C$1007,A69,'Future Blank'!$H$8:$H$1007))</x:f>
      </x:c>
      <x:c r="C69" s="173" t="str">
        <x:f>IF(A69="","",COUNTIF('Home Depot'!$C$8:$C$1007,A69) + COUNTIF('Lowes'!$C$8:$C$1007,A69) + COUNTIF('Amazon'!$C$8:$C$1007,A69) + COUNTIF('Misc Vendors'!$C$8:$C$1007,A69) + COUNTIF('Future Blank'!$C$8:$C$1007,A69))</x:f>
      </x:c>
    </x:row>
    <x:row r="70">
      <x:c r="A70" s="162" t="str">
        <x:f>IF('Setup Lists'!A54="","",'Setup Lists'!A54)</x:f>
      </x:c>
      <x:c r="B70" s="172" t="str">
        <x:f>IF(A70="","",SUMIF('Home Depot'!$C$8:$C$1007,A70,'Home Depot'!$H$8:$H$1007) + SUMIF('Lowes'!$C$8:$C$1007,A70,'Lowes'!$H$8:$H$1007) + SUMIF('Amazon'!$C$8:$C$1007,A70,'Amazon'!$H$8:$H$1007) + SUMIF('Misc Vendors'!$C$8:$C$1007,A70,'Misc Vendors'!$H$8:$H$1007) + SUMIF('Future Blank'!$C$8:$C$1007,A70,'Future Blank'!$H$8:$H$1007))</x:f>
      </x:c>
      <x:c r="C70" s="173" t="str">
        <x:f>IF(A70="","",COUNTIF('Home Depot'!$C$8:$C$1007,A70) + COUNTIF('Lowes'!$C$8:$C$1007,A70) + COUNTIF('Amazon'!$C$8:$C$1007,A70) + COUNTIF('Misc Vendors'!$C$8:$C$1007,A70) + COUNTIF('Future Blank'!$C$8:$C$1007,A70))</x:f>
      </x:c>
    </x:row>
    <x:row r="71">
      <x:c r="A71" s="162" t="str">
        <x:f>IF('Setup Lists'!A55="","",'Setup Lists'!A55)</x:f>
      </x:c>
      <x:c r="B71" s="172" t="str">
        <x:f>IF(A71="","",SUMIF('Home Depot'!$C$8:$C$1007,A71,'Home Depot'!$H$8:$H$1007) + SUMIF('Lowes'!$C$8:$C$1007,A71,'Lowes'!$H$8:$H$1007) + SUMIF('Amazon'!$C$8:$C$1007,A71,'Amazon'!$H$8:$H$1007) + SUMIF('Misc Vendors'!$C$8:$C$1007,A71,'Misc Vendors'!$H$8:$H$1007) + SUMIF('Future Blank'!$C$8:$C$1007,A71,'Future Blank'!$H$8:$H$1007))</x:f>
      </x:c>
      <x:c r="C71" s="173" t="str">
        <x:f>IF(A71="","",COUNTIF('Home Depot'!$C$8:$C$1007,A71) + COUNTIF('Lowes'!$C$8:$C$1007,A71) + COUNTIF('Amazon'!$C$8:$C$1007,A71) + COUNTIF('Misc Vendors'!$C$8:$C$1007,A71) + COUNTIF('Future Blank'!$C$8:$C$1007,A71))</x:f>
      </x:c>
    </x:row>
    <x:row r="72">
      <x:c r="A72" s="162" t="str">
        <x:f>IF('Setup Lists'!A56="","",'Setup Lists'!A56)</x:f>
      </x:c>
      <x:c r="B72" s="172" t="str">
        <x:f>IF(A72="","",SUMIF('Home Depot'!$C$8:$C$1007,A72,'Home Depot'!$H$8:$H$1007) + SUMIF('Lowes'!$C$8:$C$1007,A72,'Lowes'!$H$8:$H$1007) + SUMIF('Amazon'!$C$8:$C$1007,A72,'Amazon'!$H$8:$H$1007) + SUMIF('Misc Vendors'!$C$8:$C$1007,A72,'Misc Vendors'!$H$8:$H$1007) + SUMIF('Future Blank'!$C$8:$C$1007,A72,'Future Blank'!$H$8:$H$1007))</x:f>
      </x:c>
      <x:c r="C72" s="173" t="str">
        <x:f>IF(A72="","",COUNTIF('Home Depot'!$C$8:$C$1007,A72) + COUNTIF('Lowes'!$C$8:$C$1007,A72) + COUNTIF('Amazon'!$C$8:$C$1007,A72) + COUNTIF('Misc Vendors'!$C$8:$C$1007,A72) + COUNTIF('Future Blank'!$C$8:$C$1007,A72))</x:f>
      </x:c>
    </x:row>
    <x:row r="73">
      <x:c r="A73" s="162" t="str">
        <x:f>IF('Setup Lists'!A57="","",'Setup Lists'!A57)</x:f>
      </x:c>
      <x:c r="B73" s="172" t="str">
        <x:f>IF(A73="","",SUMIF('Home Depot'!$C$8:$C$1007,A73,'Home Depot'!$H$8:$H$1007) + SUMIF('Lowes'!$C$8:$C$1007,A73,'Lowes'!$H$8:$H$1007) + SUMIF('Amazon'!$C$8:$C$1007,A73,'Amazon'!$H$8:$H$1007) + SUMIF('Misc Vendors'!$C$8:$C$1007,A73,'Misc Vendors'!$H$8:$H$1007) + SUMIF('Future Blank'!$C$8:$C$1007,A73,'Future Blank'!$H$8:$H$1007))</x:f>
      </x:c>
      <x:c r="C73" s="173" t="str">
        <x:f>IF(A73="","",COUNTIF('Home Depot'!$C$8:$C$1007,A73) + COUNTIF('Lowes'!$C$8:$C$1007,A73) + COUNTIF('Amazon'!$C$8:$C$1007,A73) + COUNTIF('Misc Vendors'!$C$8:$C$1007,A73) + COUNTIF('Future Blank'!$C$8:$C$1007,A73))</x:f>
      </x:c>
    </x:row>
    <x:row r="74">
      <x:c r="A74" s="162" t="str">
        <x:f>IF('Setup Lists'!A58="","",'Setup Lists'!A58)</x:f>
      </x:c>
      <x:c r="B74" s="172" t="str">
        <x:f>IF(A74="","",SUMIF('Home Depot'!$C$8:$C$1007,A74,'Home Depot'!$H$8:$H$1007) + SUMIF('Lowes'!$C$8:$C$1007,A74,'Lowes'!$H$8:$H$1007) + SUMIF('Amazon'!$C$8:$C$1007,A74,'Amazon'!$H$8:$H$1007) + SUMIF('Misc Vendors'!$C$8:$C$1007,A74,'Misc Vendors'!$H$8:$H$1007) + SUMIF('Future Blank'!$C$8:$C$1007,A74,'Future Blank'!$H$8:$H$1007))</x:f>
      </x:c>
      <x:c r="C74" s="173" t="str">
        <x:f>IF(A74="","",COUNTIF('Home Depot'!$C$8:$C$1007,A74) + COUNTIF('Lowes'!$C$8:$C$1007,A74) + COUNTIF('Amazon'!$C$8:$C$1007,A74) + COUNTIF('Misc Vendors'!$C$8:$C$1007,A74) + COUNTIF('Future Blank'!$C$8:$C$1007,A74))</x:f>
      </x:c>
    </x:row>
    <x:row r="75">
      <x:c r="A75" s="162" t="str">
        <x:f>IF('Setup Lists'!A59="","",'Setup Lists'!A59)</x:f>
      </x:c>
      <x:c r="B75" s="172" t="str">
        <x:f>IF(A75="","",SUMIF('Home Depot'!$C$8:$C$1007,A75,'Home Depot'!$H$8:$H$1007) + SUMIF('Lowes'!$C$8:$C$1007,A75,'Lowes'!$H$8:$H$1007) + SUMIF('Amazon'!$C$8:$C$1007,A75,'Amazon'!$H$8:$H$1007) + SUMIF('Misc Vendors'!$C$8:$C$1007,A75,'Misc Vendors'!$H$8:$H$1007) + SUMIF('Future Blank'!$C$8:$C$1007,A75,'Future Blank'!$H$8:$H$1007))</x:f>
      </x:c>
      <x:c r="C75" s="173" t="str">
        <x:f>IF(A75="","",COUNTIF('Home Depot'!$C$8:$C$1007,A75) + COUNTIF('Lowes'!$C$8:$C$1007,A75) + COUNTIF('Amazon'!$C$8:$C$1007,A75) + COUNTIF('Misc Vendors'!$C$8:$C$1007,A75) + COUNTIF('Future Blank'!$C$8:$C$1007,A75))</x:f>
      </x:c>
    </x:row>
    <x:row r="76">
      <x:c r="A76" s="162" t="str">
        <x:f>IF('Setup Lists'!A60="","",'Setup Lists'!A60)</x:f>
      </x:c>
      <x:c r="B76" s="172" t="str">
        <x:f>IF(A76="","",SUMIF('Home Depot'!$C$8:$C$1007,A76,'Home Depot'!$H$8:$H$1007) + SUMIF('Lowes'!$C$8:$C$1007,A76,'Lowes'!$H$8:$H$1007) + SUMIF('Amazon'!$C$8:$C$1007,A76,'Amazon'!$H$8:$H$1007) + SUMIF('Misc Vendors'!$C$8:$C$1007,A76,'Misc Vendors'!$H$8:$H$1007) + SUMIF('Future Blank'!$C$8:$C$1007,A76,'Future Blank'!$H$8:$H$1007))</x:f>
      </x:c>
      <x:c r="C76" s="173" t="str">
        <x:f>IF(A76="","",COUNTIF('Home Depot'!$C$8:$C$1007,A76) + COUNTIF('Lowes'!$C$8:$C$1007,A76) + COUNTIF('Amazon'!$C$8:$C$1007,A76) + COUNTIF('Misc Vendors'!$C$8:$C$1007,A76) + COUNTIF('Future Blank'!$C$8:$C$1007,A76))</x:f>
      </x:c>
    </x:row>
    <x:row r="77">
      <x:c r="A77" s="162" t="str">
        <x:f>IF('Setup Lists'!A61="","",'Setup Lists'!A61)</x:f>
      </x:c>
      <x:c r="B77" s="172" t="str">
        <x:f>IF(A77="","",SUMIF('Home Depot'!$C$8:$C$1007,A77,'Home Depot'!$H$8:$H$1007) + SUMIF('Lowes'!$C$8:$C$1007,A77,'Lowes'!$H$8:$H$1007) + SUMIF('Amazon'!$C$8:$C$1007,A77,'Amazon'!$H$8:$H$1007) + SUMIF('Misc Vendors'!$C$8:$C$1007,A77,'Misc Vendors'!$H$8:$H$1007) + SUMIF('Future Blank'!$C$8:$C$1007,A77,'Future Blank'!$H$8:$H$1007))</x:f>
      </x:c>
      <x:c r="C77" s="173" t="str">
        <x:f>IF(A77="","",COUNTIF('Home Depot'!$C$8:$C$1007,A77) + COUNTIF('Lowes'!$C$8:$C$1007,A77) + COUNTIF('Amazon'!$C$8:$C$1007,A77) + COUNTIF('Misc Vendors'!$C$8:$C$1007,A77) + COUNTIF('Future Blank'!$C$8:$C$1007,A77))</x:f>
      </x:c>
    </x:row>
    <x:row r="78">
      <x:c r="A78" s="162" t="str">
        <x:f>IF('Setup Lists'!A62="","",'Setup Lists'!A62)</x:f>
      </x:c>
      <x:c r="B78" s="172" t="str">
        <x:f>IF(A78="","",SUMIF('Home Depot'!$C$8:$C$1007,A78,'Home Depot'!$H$8:$H$1007) + SUMIF('Lowes'!$C$8:$C$1007,A78,'Lowes'!$H$8:$H$1007) + SUMIF('Amazon'!$C$8:$C$1007,A78,'Amazon'!$H$8:$H$1007) + SUMIF('Misc Vendors'!$C$8:$C$1007,A78,'Misc Vendors'!$H$8:$H$1007) + SUMIF('Future Blank'!$C$8:$C$1007,A78,'Future Blank'!$H$8:$H$1007))</x:f>
      </x:c>
      <x:c r="C78" s="173" t="str">
        <x:f>IF(A78="","",COUNTIF('Home Depot'!$C$8:$C$1007,A78) + COUNTIF('Lowes'!$C$8:$C$1007,A78) + COUNTIF('Amazon'!$C$8:$C$1007,A78) + COUNTIF('Misc Vendors'!$C$8:$C$1007,A78) + COUNTIF('Future Blank'!$C$8:$C$1007,A78))</x:f>
      </x:c>
    </x:row>
    <x:row r="79">
      <x:c r="A79" s="162" t="str">
        <x:f>IF('Setup Lists'!A63="","",'Setup Lists'!A63)</x:f>
      </x:c>
      <x:c r="B79" s="172" t="str">
        <x:f>IF(A79="","",SUMIF('Home Depot'!$C$8:$C$1007,A79,'Home Depot'!$H$8:$H$1007) + SUMIF('Lowes'!$C$8:$C$1007,A79,'Lowes'!$H$8:$H$1007) + SUMIF('Amazon'!$C$8:$C$1007,A79,'Amazon'!$H$8:$H$1007) + SUMIF('Misc Vendors'!$C$8:$C$1007,A79,'Misc Vendors'!$H$8:$H$1007) + SUMIF('Future Blank'!$C$8:$C$1007,A79,'Future Blank'!$H$8:$H$1007))</x:f>
      </x:c>
      <x:c r="C79" s="173" t="str">
        <x:f>IF(A79="","",COUNTIF('Home Depot'!$C$8:$C$1007,A79) + COUNTIF('Lowes'!$C$8:$C$1007,A79) + COUNTIF('Amazon'!$C$8:$C$1007,A79) + COUNTIF('Misc Vendors'!$C$8:$C$1007,A79) + COUNTIF('Future Blank'!$C$8:$C$1007,A79))</x:f>
      </x:c>
    </x:row>
    <x:row r="80">
      <x:c r="A80" s="162" t="str">
        <x:f>IF('Setup Lists'!A64="","",'Setup Lists'!A64)</x:f>
      </x:c>
      <x:c r="B80" s="172" t="str">
        <x:f>IF(A80="","",SUMIF('Home Depot'!$C$8:$C$1007,A80,'Home Depot'!$H$8:$H$1007) + SUMIF('Lowes'!$C$8:$C$1007,A80,'Lowes'!$H$8:$H$1007) + SUMIF('Amazon'!$C$8:$C$1007,A80,'Amazon'!$H$8:$H$1007) + SUMIF('Misc Vendors'!$C$8:$C$1007,A80,'Misc Vendors'!$H$8:$H$1007) + SUMIF('Future Blank'!$C$8:$C$1007,A80,'Future Blank'!$H$8:$H$1007))</x:f>
      </x:c>
      <x:c r="C80" s="173" t="str">
        <x:f>IF(A80="","",COUNTIF('Home Depot'!$C$8:$C$1007,A80) + COUNTIF('Lowes'!$C$8:$C$1007,A80) + COUNTIF('Amazon'!$C$8:$C$1007,A80) + COUNTIF('Misc Vendors'!$C$8:$C$1007,A80) + COUNTIF('Future Blank'!$C$8:$C$1007,A80))</x:f>
      </x:c>
    </x:row>
    <x:row r="81">
      <x:c r="A81" s="162" t="str">
        <x:f>IF('Setup Lists'!A65="","",'Setup Lists'!A65)</x:f>
      </x:c>
      <x:c r="B81" s="172" t="str">
        <x:f>IF(A81="","",SUMIF('Home Depot'!$C$8:$C$1007,A81,'Home Depot'!$H$8:$H$1007) + SUMIF('Lowes'!$C$8:$C$1007,A81,'Lowes'!$H$8:$H$1007) + SUMIF('Amazon'!$C$8:$C$1007,A81,'Amazon'!$H$8:$H$1007) + SUMIF('Misc Vendors'!$C$8:$C$1007,A81,'Misc Vendors'!$H$8:$H$1007) + SUMIF('Future Blank'!$C$8:$C$1007,A81,'Future Blank'!$H$8:$H$1007))</x:f>
      </x:c>
      <x:c r="C81" s="173" t="str">
        <x:f>IF(A81="","",COUNTIF('Home Depot'!$C$8:$C$1007,A81) + COUNTIF('Lowes'!$C$8:$C$1007,A81) + COUNTIF('Amazon'!$C$8:$C$1007,A81) + COUNTIF('Misc Vendors'!$C$8:$C$1007,A81) + COUNTIF('Future Blank'!$C$8:$C$1007,A81))</x:f>
      </x:c>
    </x:row>
    <x:row r="82">
      <x:c r="A82" s="162" t="str">
        <x:f>IF('Setup Lists'!A66="","",'Setup Lists'!A66)</x:f>
      </x:c>
      <x:c r="B82" s="172" t="str">
        <x:f>IF(A82="","",SUMIF('Home Depot'!$C$8:$C$1007,A82,'Home Depot'!$H$8:$H$1007) + SUMIF('Lowes'!$C$8:$C$1007,A82,'Lowes'!$H$8:$H$1007) + SUMIF('Amazon'!$C$8:$C$1007,A82,'Amazon'!$H$8:$H$1007) + SUMIF('Misc Vendors'!$C$8:$C$1007,A82,'Misc Vendors'!$H$8:$H$1007) + SUMIF('Future Blank'!$C$8:$C$1007,A82,'Future Blank'!$H$8:$H$1007))</x:f>
      </x:c>
      <x:c r="C82" s="173" t="str">
        <x:f>IF(A82="","",COUNTIF('Home Depot'!$C$8:$C$1007,A82) + COUNTIF('Lowes'!$C$8:$C$1007,A82) + COUNTIF('Amazon'!$C$8:$C$1007,A82) + COUNTIF('Misc Vendors'!$C$8:$C$1007,A82) + COUNTIF('Future Blank'!$C$8:$C$1007,A82))</x:f>
      </x:c>
    </x:row>
    <x:row r="83">
      <x:c r="A83" s="162" t="str">
        <x:f>IF('Setup Lists'!A67="","",'Setup Lists'!A67)</x:f>
      </x:c>
      <x:c r="B83" s="172" t="str">
        <x:f>IF(A83="","",SUMIF('Home Depot'!$C$8:$C$1007,A83,'Home Depot'!$H$8:$H$1007) + SUMIF('Lowes'!$C$8:$C$1007,A83,'Lowes'!$H$8:$H$1007) + SUMIF('Amazon'!$C$8:$C$1007,A83,'Amazon'!$H$8:$H$1007) + SUMIF('Misc Vendors'!$C$8:$C$1007,A83,'Misc Vendors'!$H$8:$H$1007) + SUMIF('Future Blank'!$C$8:$C$1007,A83,'Future Blank'!$H$8:$H$1007))</x:f>
      </x:c>
      <x:c r="C83" s="173" t="str">
        <x:f>IF(A83="","",COUNTIF('Home Depot'!$C$8:$C$1007,A83) + COUNTIF('Lowes'!$C$8:$C$1007,A83) + COUNTIF('Amazon'!$C$8:$C$1007,A83) + COUNTIF('Misc Vendors'!$C$8:$C$1007,A83) + COUNTIF('Future Blank'!$C$8:$C$1007,A83))</x:f>
      </x:c>
    </x:row>
    <x:row r="84">
      <x:c r="A84" s="162" t="str">
        <x:f>IF('Setup Lists'!A68="","",'Setup Lists'!A68)</x:f>
      </x:c>
      <x:c r="B84" s="172" t="str">
        <x:f>IF(A84="","",SUMIF('Home Depot'!$C$8:$C$1007,A84,'Home Depot'!$H$8:$H$1007) + SUMIF('Lowes'!$C$8:$C$1007,A84,'Lowes'!$H$8:$H$1007) + SUMIF('Amazon'!$C$8:$C$1007,A84,'Amazon'!$H$8:$H$1007) + SUMIF('Misc Vendors'!$C$8:$C$1007,A84,'Misc Vendors'!$H$8:$H$1007) + SUMIF('Future Blank'!$C$8:$C$1007,A84,'Future Blank'!$H$8:$H$1007))</x:f>
      </x:c>
      <x:c r="C84" s="173" t="str">
        <x:f>IF(A84="","",COUNTIF('Home Depot'!$C$8:$C$1007,A84) + COUNTIF('Lowes'!$C$8:$C$1007,A84) + COUNTIF('Amazon'!$C$8:$C$1007,A84) + COUNTIF('Misc Vendors'!$C$8:$C$1007,A84) + COUNTIF('Future Blank'!$C$8:$C$1007,A84))</x:f>
      </x:c>
    </x:row>
    <x:row r="85">
      <x:c r="A85" s="162" t="str">
        <x:f>IF('Setup Lists'!A69="","",'Setup Lists'!A69)</x:f>
      </x:c>
      <x:c r="B85" s="172" t="str">
        <x:f>IF(A85="","",SUMIF('Home Depot'!$C$8:$C$1007,A85,'Home Depot'!$H$8:$H$1007) + SUMIF('Lowes'!$C$8:$C$1007,A85,'Lowes'!$H$8:$H$1007) + SUMIF('Amazon'!$C$8:$C$1007,A85,'Amazon'!$H$8:$H$1007) + SUMIF('Misc Vendors'!$C$8:$C$1007,A85,'Misc Vendors'!$H$8:$H$1007) + SUMIF('Future Blank'!$C$8:$C$1007,A85,'Future Blank'!$H$8:$H$1007))</x:f>
      </x:c>
      <x:c r="C85" s="173" t="str">
        <x:f>IF(A85="","",COUNTIF('Home Depot'!$C$8:$C$1007,A85) + COUNTIF('Lowes'!$C$8:$C$1007,A85) + COUNTIF('Amazon'!$C$8:$C$1007,A85) + COUNTIF('Misc Vendors'!$C$8:$C$1007,A85) + COUNTIF('Future Blank'!$C$8:$C$1007,A85))</x:f>
      </x:c>
    </x:row>
    <x:row r="86">
      <x:c r="A86" s="162" t="str">
        <x:f>IF('Setup Lists'!A70="","",'Setup Lists'!A70)</x:f>
      </x:c>
      <x:c r="B86" s="172" t="str">
        <x:f>IF(A86="","",SUMIF('Home Depot'!$C$8:$C$1007,A86,'Home Depot'!$H$8:$H$1007) + SUMIF('Lowes'!$C$8:$C$1007,A86,'Lowes'!$H$8:$H$1007) + SUMIF('Amazon'!$C$8:$C$1007,A86,'Amazon'!$H$8:$H$1007) + SUMIF('Misc Vendors'!$C$8:$C$1007,A86,'Misc Vendors'!$H$8:$H$1007) + SUMIF('Future Blank'!$C$8:$C$1007,A86,'Future Blank'!$H$8:$H$1007))</x:f>
      </x:c>
      <x:c r="C86" s="173" t="str">
        <x:f>IF(A86="","",COUNTIF('Home Depot'!$C$8:$C$1007,A86) + COUNTIF('Lowes'!$C$8:$C$1007,A86) + COUNTIF('Amazon'!$C$8:$C$1007,A86) + COUNTIF('Misc Vendors'!$C$8:$C$1007,A86) + COUNTIF('Future Blank'!$C$8:$C$1007,A86))</x:f>
      </x:c>
    </x:row>
    <x:row r="87">
      <x:c r="A87" s="162" t="str">
        <x:f>IF('Setup Lists'!A71="","",'Setup Lists'!A71)</x:f>
      </x:c>
      <x:c r="B87" s="172" t="str">
        <x:f>IF(A87="","",SUMIF('Home Depot'!$C$8:$C$1007,A87,'Home Depot'!$H$8:$H$1007) + SUMIF('Lowes'!$C$8:$C$1007,A87,'Lowes'!$H$8:$H$1007) + SUMIF('Amazon'!$C$8:$C$1007,A87,'Amazon'!$H$8:$H$1007) + SUMIF('Misc Vendors'!$C$8:$C$1007,A87,'Misc Vendors'!$H$8:$H$1007) + SUMIF('Future Blank'!$C$8:$C$1007,A87,'Future Blank'!$H$8:$H$1007))</x:f>
      </x:c>
      <x:c r="C87" s="173" t="str">
        <x:f>IF(A87="","",COUNTIF('Home Depot'!$C$8:$C$1007,A87) + COUNTIF('Lowes'!$C$8:$C$1007,A87) + COUNTIF('Amazon'!$C$8:$C$1007,A87) + COUNTIF('Misc Vendors'!$C$8:$C$1007,A87) + COUNTIF('Future Blank'!$C$8:$C$1007,A87))</x:f>
      </x:c>
    </x:row>
    <x:row r="88">
      <x:c r="A88" s="162" t="str">
        <x:f>IF('Setup Lists'!A72="","",'Setup Lists'!A72)</x:f>
      </x:c>
      <x:c r="B88" s="172" t="str">
        <x:f>IF(A88="","",SUMIF('Home Depot'!$C$8:$C$1007,A88,'Home Depot'!$H$8:$H$1007) + SUMIF('Lowes'!$C$8:$C$1007,A88,'Lowes'!$H$8:$H$1007) + SUMIF('Amazon'!$C$8:$C$1007,A88,'Amazon'!$H$8:$H$1007) + SUMIF('Misc Vendors'!$C$8:$C$1007,A88,'Misc Vendors'!$H$8:$H$1007) + SUMIF('Future Blank'!$C$8:$C$1007,A88,'Future Blank'!$H$8:$H$1007))</x:f>
      </x:c>
      <x:c r="C88" s="173" t="str">
        <x:f>IF(A88="","",COUNTIF('Home Depot'!$C$8:$C$1007,A88) + COUNTIF('Lowes'!$C$8:$C$1007,A88) + COUNTIF('Amazon'!$C$8:$C$1007,A88) + COUNTIF('Misc Vendors'!$C$8:$C$1007,A88) + COUNTIF('Future Blank'!$C$8:$C$1007,A88))</x:f>
      </x:c>
    </x:row>
    <x:row r="89">
      <x:c r="A89" s="162" t="str">
        <x:f>IF('Setup Lists'!A73="","",'Setup Lists'!A73)</x:f>
      </x:c>
      <x:c r="B89" s="172" t="str">
        <x:f>IF(A89="","",SUMIF('Home Depot'!$C$8:$C$1007,A89,'Home Depot'!$H$8:$H$1007) + SUMIF('Lowes'!$C$8:$C$1007,A89,'Lowes'!$H$8:$H$1007) + SUMIF('Amazon'!$C$8:$C$1007,A89,'Amazon'!$H$8:$H$1007) + SUMIF('Misc Vendors'!$C$8:$C$1007,A89,'Misc Vendors'!$H$8:$H$1007) + SUMIF('Future Blank'!$C$8:$C$1007,A89,'Future Blank'!$H$8:$H$1007))</x:f>
      </x:c>
      <x:c r="C89" s="173" t="str">
        <x:f>IF(A89="","",COUNTIF('Home Depot'!$C$8:$C$1007,A89) + COUNTIF('Lowes'!$C$8:$C$1007,A89) + COUNTIF('Amazon'!$C$8:$C$1007,A89) + COUNTIF('Misc Vendors'!$C$8:$C$1007,A89) + COUNTIF('Future Blank'!$C$8:$C$1007,A89))</x:f>
      </x:c>
    </x:row>
    <x:row r="90">
      <x:c r="A90" s="162" t="str">
        <x:f>IF('Setup Lists'!A74="","",'Setup Lists'!A74)</x:f>
      </x:c>
      <x:c r="B90" s="172" t="str">
        <x:f>IF(A90="","",SUMIF('Home Depot'!$C$8:$C$1007,A90,'Home Depot'!$H$8:$H$1007) + SUMIF('Lowes'!$C$8:$C$1007,A90,'Lowes'!$H$8:$H$1007) + SUMIF('Amazon'!$C$8:$C$1007,A90,'Amazon'!$H$8:$H$1007) + SUMIF('Misc Vendors'!$C$8:$C$1007,A90,'Misc Vendors'!$H$8:$H$1007) + SUMIF('Future Blank'!$C$8:$C$1007,A90,'Future Blank'!$H$8:$H$1007))</x:f>
      </x:c>
      <x:c r="C90" s="173" t="str">
        <x:f>IF(A90="","",COUNTIF('Home Depot'!$C$8:$C$1007,A90) + COUNTIF('Lowes'!$C$8:$C$1007,A90) + COUNTIF('Amazon'!$C$8:$C$1007,A90) + COUNTIF('Misc Vendors'!$C$8:$C$1007,A90) + COUNTIF('Future Blank'!$C$8:$C$1007,A90))</x:f>
      </x:c>
    </x:row>
    <x:row r="91">
      <x:c r="A91" s="162" t="str">
        <x:f>IF('Setup Lists'!A75="","",'Setup Lists'!A75)</x:f>
      </x:c>
      <x:c r="B91" s="172" t="str">
        <x:f>IF(A91="","",SUMIF('Home Depot'!$C$8:$C$1007,A91,'Home Depot'!$H$8:$H$1007) + SUMIF('Lowes'!$C$8:$C$1007,A91,'Lowes'!$H$8:$H$1007) + SUMIF('Amazon'!$C$8:$C$1007,A91,'Amazon'!$H$8:$H$1007) + SUMIF('Misc Vendors'!$C$8:$C$1007,A91,'Misc Vendors'!$H$8:$H$1007) + SUMIF('Future Blank'!$C$8:$C$1007,A91,'Future Blank'!$H$8:$H$1007))</x:f>
      </x:c>
      <x:c r="C91" s="173" t="str">
        <x:f>IF(A91="","",COUNTIF('Home Depot'!$C$8:$C$1007,A91) + COUNTIF('Lowes'!$C$8:$C$1007,A91) + COUNTIF('Amazon'!$C$8:$C$1007,A91) + COUNTIF('Misc Vendors'!$C$8:$C$1007,A91) + COUNTIF('Future Blank'!$C$8:$C$1007,A91))</x:f>
      </x:c>
    </x:row>
    <x:row r="92">
      <x:c r="A92" s="162" t="str">
        <x:f>IF('Setup Lists'!A76="","",'Setup Lists'!A76)</x:f>
      </x:c>
      <x:c r="B92" s="172" t="str">
        <x:f>IF(A92="","",SUMIF('Home Depot'!$C$8:$C$1007,A92,'Home Depot'!$H$8:$H$1007) + SUMIF('Lowes'!$C$8:$C$1007,A92,'Lowes'!$H$8:$H$1007) + SUMIF('Amazon'!$C$8:$C$1007,A92,'Amazon'!$H$8:$H$1007) + SUMIF('Misc Vendors'!$C$8:$C$1007,A92,'Misc Vendors'!$H$8:$H$1007) + SUMIF('Future Blank'!$C$8:$C$1007,A92,'Future Blank'!$H$8:$H$1007))</x:f>
      </x:c>
      <x:c r="C92" s="173" t="str">
        <x:f>IF(A92="","",COUNTIF('Home Depot'!$C$8:$C$1007,A92) + COUNTIF('Lowes'!$C$8:$C$1007,A92) + COUNTIF('Amazon'!$C$8:$C$1007,A92) + COUNTIF('Misc Vendors'!$C$8:$C$1007,A92) + COUNTIF('Future Blank'!$C$8:$C$1007,A92))</x:f>
      </x:c>
    </x:row>
    <x:row r="93">
      <x:c r="A93" s="162" t="str">
        <x:f>IF('Setup Lists'!A77="","",'Setup Lists'!A77)</x:f>
      </x:c>
      <x:c r="B93" s="172" t="str">
        <x:f>IF(A93="","",SUMIF('Home Depot'!$C$8:$C$1007,A93,'Home Depot'!$H$8:$H$1007) + SUMIF('Lowes'!$C$8:$C$1007,A93,'Lowes'!$H$8:$H$1007) + SUMIF('Amazon'!$C$8:$C$1007,A93,'Amazon'!$H$8:$H$1007) + SUMIF('Misc Vendors'!$C$8:$C$1007,A93,'Misc Vendors'!$H$8:$H$1007) + SUMIF('Future Blank'!$C$8:$C$1007,A93,'Future Blank'!$H$8:$H$1007))</x:f>
      </x:c>
      <x:c r="C93" s="173" t="str">
        <x:f>IF(A93="","",COUNTIF('Home Depot'!$C$8:$C$1007,A93) + COUNTIF('Lowes'!$C$8:$C$1007,A93) + COUNTIF('Amazon'!$C$8:$C$1007,A93) + COUNTIF('Misc Vendors'!$C$8:$C$1007,A93) + COUNTIF('Future Blank'!$C$8:$C$1007,A93))</x:f>
      </x:c>
    </x:row>
    <x:row r="94">
      <x:c r="A94" s="162" t="str">
        <x:f>IF('Setup Lists'!A78="","",'Setup Lists'!A78)</x:f>
      </x:c>
      <x:c r="B94" s="172" t="str">
        <x:f>IF(A94="","",SUMIF('Home Depot'!$C$8:$C$1007,A94,'Home Depot'!$H$8:$H$1007) + SUMIF('Lowes'!$C$8:$C$1007,A94,'Lowes'!$H$8:$H$1007) + SUMIF('Amazon'!$C$8:$C$1007,A94,'Amazon'!$H$8:$H$1007) + SUMIF('Misc Vendors'!$C$8:$C$1007,A94,'Misc Vendors'!$H$8:$H$1007) + SUMIF('Future Blank'!$C$8:$C$1007,A94,'Future Blank'!$H$8:$H$1007))</x:f>
      </x:c>
      <x:c r="C94" s="173" t="str">
        <x:f>IF(A94="","",COUNTIF('Home Depot'!$C$8:$C$1007,A94) + COUNTIF('Lowes'!$C$8:$C$1007,A94) + COUNTIF('Amazon'!$C$8:$C$1007,A94) + COUNTIF('Misc Vendors'!$C$8:$C$1007,A94) + COUNTIF('Future Blank'!$C$8:$C$1007,A94))</x:f>
      </x:c>
    </x:row>
    <x:row r="95">
      <x:c r="A95" s="162" t="str">
        <x:f>IF('Setup Lists'!A79="","",'Setup Lists'!A79)</x:f>
      </x:c>
      <x:c r="B95" s="172" t="str">
        <x:f>IF(A95="","",SUMIF('Home Depot'!$C$8:$C$1007,A95,'Home Depot'!$H$8:$H$1007) + SUMIF('Lowes'!$C$8:$C$1007,A95,'Lowes'!$H$8:$H$1007) + SUMIF('Amazon'!$C$8:$C$1007,A95,'Amazon'!$H$8:$H$1007) + SUMIF('Misc Vendors'!$C$8:$C$1007,A95,'Misc Vendors'!$H$8:$H$1007) + SUMIF('Future Blank'!$C$8:$C$1007,A95,'Future Blank'!$H$8:$H$1007))</x:f>
      </x:c>
      <x:c r="C95" s="173" t="str">
        <x:f>IF(A95="","",COUNTIF('Home Depot'!$C$8:$C$1007,A95) + COUNTIF('Lowes'!$C$8:$C$1007,A95) + COUNTIF('Amazon'!$C$8:$C$1007,A95) + COUNTIF('Misc Vendors'!$C$8:$C$1007,A95) + COUNTIF('Future Blank'!$C$8:$C$1007,A95))</x:f>
      </x:c>
    </x:row>
    <x:row r="96">
      <x:c r="A96" s="162" t="str">
        <x:f>IF('Setup Lists'!A80="","",'Setup Lists'!A80)</x:f>
      </x:c>
      <x:c r="B96" s="172" t="str">
        <x:f>IF(A96="","",SUMIF('Home Depot'!$C$8:$C$1007,A96,'Home Depot'!$H$8:$H$1007) + SUMIF('Lowes'!$C$8:$C$1007,A96,'Lowes'!$H$8:$H$1007) + SUMIF('Amazon'!$C$8:$C$1007,A96,'Amazon'!$H$8:$H$1007) + SUMIF('Misc Vendors'!$C$8:$C$1007,A96,'Misc Vendors'!$H$8:$H$1007) + SUMIF('Future Blank'!$C$8:$C$1007,A96,'Future Blank'!$H$8:$H$1007))</x:f>
      </x:c>
      <x:c r="C96" s="173" t="str">
        <x:f>IF(A96="","",COUNTIF('Home Depot'!$C$8:$C$1007,A96) + COUNTIF('Lowes'!$C$8:$C$1007,A96) + COUNTIF('Amazon'!$C$8:$C$1007,A96) + COUNTIF('Misc Vendors'!$C$8:$C$1007,A96) + COUNTIF('Future Blank'!$C$8:$C$1007,A96))</x:f>
      </x:c>
    </x:row>
    <x:row r="97">
      <x:c r="A97" s="162" t="str">
        <x:f>IF('Setup Lists'!A81="","",'Setup Lists'!A81)</x:f>
      </x:c>
      <x:c r="B97" s="172" t="str">
        <x:f>IF(A97="","",SUMIF('Home Depot'!$C$8:$C$1007,A97,'Home Depot'!$H$8:$H$1007) + SUMIF('Lowes'!$C$8:$C$1007,A97,'Lowes'!$H$8:$H$1007) + SUMIF('Amazon'!$C$8:$C$1007,A97,'Amazon'!$H$8:$H$1007) + SUMIF('Misc Vendors'!$C$8:$C$1007,A97,'Misc Vendors'!$H$8:$H$1007) + SUMIF('Future Blank'!$C$8:$C$1007,A97,'Future Blank'!$H$8:$H$1007))</x:f>
      </x:c>
      <x:c r="C97" s="173" t="str">
        <x:f>IF(A97="","",COUNTIF('Home Depot'!$C$8:$C$1007,A97) + COUNTIF('Lowes'!$C$8:$C$1007,A97) + COUNTIF('Amazon'!$C$8:$C$1007,A97) + COUNTIF('Misc Vendors'!$C$8:$C$1007,A97) + COUNTIF('Future Blank'!$C$8:$C$1007,A97))</x:f>
      </x:c>
    </x:row>
    <x:row r="98">
      <x:c r="A98" s="162" t="str">
        <x:f>IF('Setup Lists'!A82="","",'Setup Lists'!A82)</x:f>
      </x:c>
      <x:c r="B98" s="172" t="str">
        <x:f>IF(A98="","",SUMIF('Home Depot'!$C$8:$C$1007,A98,'Home Depot'!$H$8:$H$1007) + SUMIF('Lowes'!$C$8:$C$1007,A98,'Lowes'!$H$8:$H$1007) + SUMIF('Amazon'!$C$8:$C$1007,A98,'Amazon'!$H$8:$H$1007) + SUMIF('Misc Vendors'!$C$8:$C$1007,A98,'Misc Vendors'!$H$8:$H$1007) + SUMIF('Future Blank'!$C$8:$C$1007,A98,'Future Blank'!$H$8:$H$1007))</x:f>
      </x:c>
      <x:c r="C98" s="173" t="str">
        <x:f>IF(A98="","",COUNTIF('Home Depot'!$C$8:$C$1007,A98) + COUNTIF('Lowes'!$C$8:$C$1007,A98) + COUNTIF('Amazon'!$C$8:$C$1007,A98) + COUNTIF('Misc Vendors'!$C$8:$C$1007,A98) + COUNTIF('Future Blank'!$C$8:$C$1007,A98))</x:f>
      </x:c>
    </x:row>
    <x:row r="99">
      <x:c r="A99" s="162" t="str">
        <x:f>IF('Setup Lists'!A83="","",'Setup Lists'!A83)</x:f>
      </x:c>
      <x:c r="B99" s="172" t="str">
        <x:f>IF(A99="","",SUMIF('Home Depot'!$C$8:$C$1007,A99,'Home Depot'!$H$8:$H$1007) + SUMIF('Lowes'!$C$8:$C$1007,A99,'Lowes'!$H$8:$H$1007) + SUMIF('Amazon'!$C$8:$C$1007,A99,'Amazon'!$H$8:$H$1007) + SUMIF('Misc Vendors'!$C$8:$C$1007,A99,'Misc Vendors'!$H$8:$H$1007) + SUMIF('Future Blank'!$C$8:$C$1007,A99,'Future Blank'!$H$8:$H$1007))</x:f>
      </x:c>
      <x:c r="C99" s="173" t="str">
        <x:f>IF(A99="","",COUNTIF('Home Depot'!$C$8:$C$1007,A99) + COUNTIF('Lowes'!$C$8:$C$1007,A99) + COUNTIF('Amazon'!$C$8:$C$1007,A99) + COUNTIF('Misc Vendors'!$C$8:$C$1007,A99) + COUNTIF('Future Blank'!$C$8:$C$1007,A99))</x:f>
      </x:c>
    </x:row>
    <x:row r="100">
      <x:c r="A100" s="162" t="str">
        <x:f>IF('Setup Lists'!A84="","",'Setup Lists'!A84)</x:f>
      </x:c>
      <x:c r="B100" s="172" t="str">
        <x:f>IF(A100="","",SUMIF('Home Depot'!$C$8:$C$1007,A100,'Home Depot'!$H$8:$H$1007) + SUMIF('Lowes'!$C$8:$C$1007,A100,'Lowes'!$H$8:$H$1007) + SUMIF('Amazon'!$C$8:$C$1007,A100,'Amazon'!$H$8:$H$1007) + SUMIF('Misc Vendors'!$C$8:$C$1007,A100,'Misc Vendors'!$H$8:$H$1007) + SUMIF('Future Blank'!$C$8:$C$1007,A100,'Future Blank'!$H$8:$H$1007))</x:f>
      </x:c>
      <x:c r="C100" s="173" t="str">
        <x:f>IF(A100="","",COUNTIF('Home Depot'!$C$8:$C$1007,A100) + COUNTIF('Lowes'!$C$8:$C$1007,A100) + COUNTIF('Amazon'!$C$8:$C$1007,A100) + COUNTIF('Misc Vendors'!$C$8:$C$1007,A100) + COUNTIF('Future Blank'!$C$8:$C$1007,A100))</x:f>
      </x:c>
    </x:row>
    <x:row r="101">
      <x:c r="A101" s="162" t="str">
        <x:f>IF('Setup Lists'!A85="","",'Setup Lists'!A85)</x:f>
      </x:c>
      <x:c r="B101" s="172" t="str">
        <x:f>IF(A101="","",SUMIF('Home Depot'!$C$8:$C$1007,A101,'Home Depot'!$H$8:$H$1007) + SUMIF('Lowes'!$C$8:$C$1007,A101,'Lowes'!$H$8:$H$1007) + SUMIF('Amazon'!$C$8:$C$1007,A101,'Amazon'!$H$8:$H$1007) + SUMIF('Misc Vendors'!$C$8:$C$1007,A101,'Misc Vendors'!$H$8:$H$1007) + SUMIF('Future Blank'!$C$8:$C$1007,A101,'Future Blank'!$H$8:$H$1007))</x:f>
      </x:c>
      <x:c r="C101" s="173" t="str">
        <x:f>IF(A101="","",COUNTIF('Home Depot'!$C$8:$C$1007,A101) + COUNTIF('Lowes'!$C$8:$C$1007,A101) + COUNTIF('Amazon'!$C$8:$C$1007,A101) + COUNTIF('Misc Vendors'!$C$8:$C$1007,A101) + COUNTIF('Future Blank'!$C$8:$C$1007,A101))</x:f>
      </x:c>
    </x:row>
    <x:row r="102">
      <x:c r="A102" s="162" t="str">
        <x:f>IF('Setup Lists'!A86="","",'Setup Lists'!A86)</x:f>
      </x:c>
      <x:c r="B102" s="172" t="str">
        <x:f>IF(A102="","",SUMIF('Home Depot'!$C$8:$C$1007,A102,'Home Depot'!$H$8:$H$1007) + SUMIF('Lowes'!$C$8:$C$1007,A102,'Lowes'!$H$8:$H$1007) + SUMIF('Amazon'!$C$8:$C$1007,A102,'Amazon'!$H$8:$H$1007) + SUMIF('Misc Vendors'!$C$8:$C$1007,A102,'Misc Vendors'!$H$8:$H$1007) + SUMIF('Future Blank'!$C$8:$C$1007,A102,'Future Blank'!$H$8:$H$1007))</x:f>
      </x:c>
      <x:c r="C102" s="173" t="str">
        <x:f>IF(A102="","",COUNTIF('Home Depot'!$C$8:$C$1007,A102) + COUNTIF('Lowes'!$C$8:$C$1007,A102) + COUNTIF('Amazon'!$C$8:$C$1007,A102) + COUNTIF('Misc Vendors'!$C$8:$C$1007,A102) + COUNTIF('Future Blank'!$C$8:$C$1007,A102))</x:f>
      </x:c>
    </x:row>
    <x:row r="103">
      <x:c r="A103" s="162" t="str">
        <x:f>IF('Setup Lists'!A87="","",'Setup Lists'!A87)</x:f>
      </x:c>
      <x:c r="B103" s="172" t="str">
        <x:f>IF(A103="","",SUMIF('Home Depot'!$C$8:$C$1007,A103,'Home Depot'!$H$8:$H$1007) + SUMIF('Lowes'!$C$8:$C$1007,A103,'Lowes'!$H$8:$H$1007) + SUMIF('Amazon'!$C$8:$C$1007,A103,'Amazon'!$H$8:$H$1007) + SUMIF('Misc Vendors'!$C$8:$C$1007,A103,'Misc Vendors'!$H$8:$H$1007) + SUMIF('Future Blank'!$C$8:$C$1007,A103,'Future Blank'!$H$8:$H$1007))</x:f>
      </x:c>
      <x:c r="C103" s="173" t="str">
        <x:f>IF(A103="","",COUNTIF('Home Depot'!$C$8:$C$1007,A103) + COUNTIF('Lowes'!$C$8:$C$1007,A103) + COUNTIF('Amazon'!$C$8:$C$1007,A103) + COUNTIF('Misc Vendors'!$C$8:$C$1007,A103) + COUNTIF('Future Blank'!$C$8:$C$1007,A103))</x:f>
      </x:c>
    </x:row>
    <x:row r="104">
      <x:c r="A104" s="162" t="str">
        <x:f>IF('Setup Lists'!A88="","",'Setup Lists'!A88)</x:f>
      </x:c>
      <x:c r="B104" s="172" t="str">
        <x:f>IF(A104="","",SUMIF('Home Depot'!$C$8:$C$1007,A104,'Home Depot'!$H$8:$H$1007) + SUMIF('Lowes'!$C$8:$C$1007,A104,'Lowes'!$H$8:$H$1007) + SUMIF('Amazon'!$C$8:$C$1007,A104,'Amazon'!$H$8:$H$1007) + SUMIF('Misc Vendors'!$C$8:$C$1007,A104,'Misc Vendors'!$H$8:$H$1007) + SUMIF('Future Blank'!$C$8:$C$1007,A104,'Future Blank'!$H$8:$H$1007))</x:f>
      </x:c>
      <x:c r="C104" s="173" t="str">
        <x:f>IF(A104="","",COUNTIF('Home Depot'!$C$8:$C$1007,A104) + COUNTIF('Lowes'!$C$8:$C$1007,A104) + COUNTIF('Amazon'!$C$8:$C$1007,A104) + COUNTIF('Misc Vendors'!$C$8:$C$1007,A104) + COUNTIF('Future Blank'!$C$8:$C$1007,A104))</x:f>
      </x:c>
    </x:row>
    <x:row r="105">
      <x:c r="A105" s="162" t="str">
        <x:f>IF('Setup Lists'!A89="","",'Setup Lists'!A89)</x:f>
      </x:c>
      <x:c r="B105" s="172" t="str">
        <x:f>IF(A105="","",SUMIF('Home Depot'!$C$8:$C$1007,A105,'Home Depot'!$H$8:$H$1007) + SUMIF('Lowes'!$C$8:$C$1007,A105,'Lowes'!$H$8:$H$1007) + SUMIF('Amazon'!$C$8:$C$1007,A105,'Amazon'!$H$8:$H$1007) + SUMIF('Misc Vendors'!$C$8:$C$1007,A105,'Misc Vendors'!$H$8:$H$1007) + SUMIF('Future Blank'!$C$8:$C$1007,A105,'Future Blank'!$H$8:$H$1007))</x:f>
      </x:c>
      <x:c r="C105" s="173" t="str">
        <x:f>IF(A105="","",COUNTIF('Home Depot'!$C$8:$C$1007,A105) + COUNTIF('Lowes'!$C$8:$C$1007,A105) + COUNTIF('Amazon'!$C$8:$C$1007,A105) + COUNTIF('Misc Vendors'!$C$8:$C$1007,A105) + COUNTIF('Future Blank'!$C$8:$C$1007,A105))</x:f>
      </x:c>
    </x:row>
    <x:row r="106">
      <x:c r="A106" s="162" t="str">
        <x:f>IF('Setup Lists'!A90="","",'Setup Lists'!A90)</x:f>
      </x:c>
      <x:c r="B106" s="172" t="str">
        <x:f>IF(A106="","",SUMIF('Home Depot'!$C$8:$C$1007,A106,'Home Depot'!$H$8:$H$1007) + SUMIF('Lowes'!$C$8:$C$1007,A106,'Lowes'!$H$8:$H$1007) + SUMIF('Amazon'!$C$8:$C$1007,A106,'Amazon'!$H$8:$H$1007) + SUMIF('Misc Vendors'!$C$8:$C$1007,A106,'Misc Vendors'!$H$8:$H$1007) + SUMIF('Future Blank'!$C$8:$C$1007,A106,'Future Blank'!$H$8:$H$1007))</x:f>
      </x:c>
      <x:c r="C106" s="173" t="str">
        <x:f>IF(A106="","",COUNTIF('Home Depot'!$C$8:$C$1007,A106) + COUNTIF('Lowes'!$C$8:$C$1007,A106) + COUNTIF('Amazon'!$C$8:$C$1007,A106) + COUNTIF('Misc Vendors'!$C$8:$C$1007,A106) + COUNTIF('Future Blank'!$C$8:$C$1007,A106))</x:f>
      </x:c>
    </x:row>
    <x:row r="107">
      <x:c r="A107" s="162" t="str">
        <x:f>IF('Setup Lists'!A91="","",'Setup Lists'!A91)</x:f>
      </x:c>
      <x:c r="B107" s="172" t="str">
        <x:f>IF(A107="","",SUMIF('Home Depot'!$C$8:$C$1007,A107,'Home Depot'!$H$8:$H$1007) + SUMIF('Lowes'!$C$8:$C$1007,A107,'Lowes'!$H$8:$H$1007) + SUMIF('Amazon'!$C$8:$C$1007,A107,'Amazon'!$H$8:$H$1007) + SUMIF('Misc Vendors'!$C$8:$C$1007,A107,'Misc Vendors'!$H$8:$H$1007) + SUMIF('Future Blank'!$C$8:$C$1007,A107,'Future Blank'!$H$8:$H$1007))</x:f>
      </x:c>
      <x:c r="C107" s="173" t="str">
        <x:f>IF(A107="","",COUNTIF('Home Depot'!$C$8:$C$1007,A107) + COUNTIF('Lowes'!$C$8:$C$1007,A107) + COUNTIF('Amazon'!$C$8:$C$1007,A107) + COUNTIF('Misc Vendors'!$C$8:$C$1007,A107) + COUNTIF('Future Blank'!$C$8:$C$1007,A107))</x:f>
      </x:c>
    </x:row>
    <x:row r="108">
      <x:c r="A108" s="162" t="str">
        <x:f>IF('Setup Lists'!A92="","",'Setup Lists'!A92)</x:f>
      </x:c>
      <x:c r="B108" s="172" t="str">
        <x:f>IF(A108="","",SUMIF('Home Depot'!$C$8:$C$1007,A108,'Home Depot'!$H$8:$H$1007) + SUMIF('Lowes'!$C$8:$C$1007,A108,'Lowes'!$H$8:$H$1007) + SUMIF('Amazon'!$C$8:$C$1007,A108,'Amazon'!$H$8:$H$1007) + SUMIF('Misc Vendors'!$C$8:$C$1007,A108,'Misc Vendors'!$H$8:$H$1007) + SUMIF('Future Blank'!$C$8:$C$1007,A108,'Future Blank'!$H$8:$H$1007))</x:f>
      </x:c>
      <x:c r="C108" s="173" t="str">
        <x:f>IF(A108="","",COUNTIF('Home Depot'!$C$8:$C$1007,A108) + COUNTIF('Lowes'!$C$8:$C$1007,A108) + COUNTIF('Amazon'!$C$8:$C$1007,A108) + COUNTIF('Misc Vendors'!$C$8:$C$1007,A108) + COUNTIF('Future Blank'!$C$8:$C$1007,A108))</x:f>
      </x:c>
    </x:row>
    <x:row r="109">
      <x:c r="A109" s="162" t="str">
        <x:f>IF('Setup Lists'!A93="","",'Setup Lists'!A93)</x:f>
      </x:c>
      <x:c r="B109" s="172" t="str">
        <x:f>IF(A109="","",SUMIF('Home Depot'!$C$8:$C$1007,A109,'Home Depot'!$H$8:$H$1007) + SUMIF('Lowes'!$C$8:$C$1007,A109,'Lowes'!$H$8:$H$1007) + SUMIF('Amazon'!$C$8:$C$1007,A109,'Amazon'!$H$8:$H$1007) + SUMIF('Misc Vendors'!$C$8:$C$1007,A109,'Misc Vendors'!$H$8:$H$1007) + SUMIF('Future Blank'!$C$8:$C$1007,A109,'Future Blank'!$H$8:$H$1007))</x:f>
      </x:c>
      <x:c r="C109" s="173" t="str">
        <x:f>IF(A109="","",COUNTIF('Home Depot'!$C$8:$C$1007,A109) + COUNTIF('Lowes'!$C$8:$C$1007,A109) + COUNTIF('Amazon'!$C$8:$C$1007,A109) + COUNTIF('Misc Vendors'!$C$8:$C$1007,A109) + COUNTIF('Future Blank'!$C$8:$C$1007,A109))</x:f>
      </x:c>
    </x:row>
    <x:row r="110">
      <x:c r="A110" s="162" t="str">
        <x:f>IF('Setup Lists'!A94="","",'Setup Lists'!A94)</x:f>
      </x:c>
      <x:c r="B110" s="172" t="str">
        <x:f>IF(A110="","",SUMIF('Home Depot'!$C$8:$C$1007,A110,'Home Depot'!$H$8:$H$1007) + SUMIF('Lowes'!$C$8:$C$1007,A110,'Lowes'!$H$8:$H$1007) + SUMIF('Amazon'!$C$8:$C$1007,A110,'Amazon'!$H$8:$H$1007) + SUMIF('Misc Vendors'!$C$8:$C$1007,A110,'Misc Vendors'!$H$8:$H$1007) + SUMIF('Future Blank'!$C$8:$C$1007,A110,'Future Blank'!$H$8:$H$1007))</x:f>
      </x:c>
      <x:c r="C110" s="173" t="str">
        <x:f>IF(A110="","",COUNTIF('Home Depot'!$C$8:$C$1007,A110) + COUNTIF('Lowes'!$C$8:$C$1007,A110) + COUNTIF('Amazon'!$C$8:$C$1007,A110) + COUNTIF('Misc Vendors'!$C$8:$C$1007,A110) + COUNTIF('Future Blank'!$C$8:$C$1007,A110))</x:f>
      </x:c>
    </x:row>
    <x:row r="111">
      <x:c r="A111" s="162" t="str">
        <x:f>IF('Setup Lists'!A95="","",'Setup Lists'!A95)</x:f>
      </x:c>
      <x:c r="B111" s="172" t="str">
        <x:f>IF(A111="","",SUMIF('Home Depot'!$C$8:$C$1007,A111,'Home Depot'!$H$8:$H$1007) + SUMIF('Lowes'!$C$8:$C$1007,A111,'Lowes'!$H$8:$H$1007) + SUMIF('Amazon'!$C$8:$C$1007,A111,'Amazon'!$H$8:$H$1007) + SUMIF('Misc Vendors'!$C$8:$C$1007,A111,'Misc Vendors'!$H$8:$H$1007) + SUMIF('Future Blank'!$C$8:$C$1007,A111,'Future Blank'!$H$8:$H$1007))</x:f>
      </x:c>
      <x:c r="C111" s="173" t="str">
        <x:f>IF(A111="","",COUNTIF('Home Depot'!$C$8:$C$1007,A111) + COUNTIF('Lowes'!$C$8:$C$1007,A111) + COUNTIF('Amazon'!$C$8:$C$1007,A111) + COUNTIF('Misc Vendors'!$C$8:$C$1007,A111) + COUNTIF('Future Blank'!$C$8:$C$1007,A111))</x:f>
      </x:c>
    </x:row>
    <x:row r="112">
      <x:c r="A112" s="162" t="str">
        <x:f>IF('Setup Lists'!A96="","",'Setup Lists'!A96)</x:f>
      </x:c>
      <x:c r="B112" s="172" t="str">
        <x:f>IF(A112="","",SUMIF('Home Depot'!$C$8:$C$1007,A112,'Home Depot'!$H$8:$H$1007) + SUMIF('Lowes'!$C$8:$C$1007,A112,'Lowes'!$H$8:$H$1007) + SUMIF('Amazon'!$C$8:$C$1007,A112,'Amazon'!$H$8:$H$1007) + SUMIF('Misc Vendors'!$C$8:$C$1007,A112,'Misc Vendors'!$H$8:$H$1007) + SUMIF('Future Blank'!$C$8:$C$1007,A112,'Future Blank'!$H$8:$H$1007))</x:f>
      </x:c>
      <x:c r="C112" s="173" t="str">
        <x:f>IF(A112="","",COUNTIF('Home Depot'!$C$8:$C$1007,A112) + COUNTIF('Lowes'!$C$8:$C$1007,A112) + COUNTIF('Amazon'!$C$8:$C$1007,A112) + COUNTIF('Misc Vendors'!$C$8:$C$1007,A112) + COUNTIF('Future Blank'!$C$8:$C$1007,A112))</x:f>
      </x:c>
    </x:row>
    <x:row r="113">
      <x:c r="A113" s="162" t="str">
        <x:f>IF('Setup Lists'!A97="","",'Setup Lists'!A97)</x:f>
      </x:c>
      <x:c r="B113" s="172" t="str">
        <x:f>IF(A113="","",SUMIF('Home Depot'!$C$8:$C$1007,A113,'Home Depot'!$H$8:$H$1007) + SUMIF('Lowes'!$C$8:$C$1007,A113,'Lowes'!$H$8:$H$1007) + SUMIF('Amazon'!$C$8:$C$1007,A113,'Amazon'!$H$8:$H$1007) + SUMIF('Misc Vendors'!$C$8:$C$1007,A113,'Misc Vendors'!$H$8:$H$1007) + SUMIF('Future Blank'!$C$8:$C$1007,A113,'Future Blank'!$H$8:$H$1007))</x:f>
      </x:c>
      <x:c r="C113" s="173" t="str">
        <x:f>IF(A113="","",COUNTIF('Home Depot'!$C$8:$C$1007,A113) + COUNTIF('Lowes'!$C$8:$C$1007,A113) + COUNTIF('Amazon'!$C$8:$C$1007,A113) + COUNTIF('Misc Vendors'!$C$8:$C$1007,A113) + COUNTIF('Future Blank'!$C$8:$C$1007,A113))</x:f>
      </x:c>
    </x:row>
    <x:row r="114">
      <x:c r="A114" s="162" t="str">
        <x:f>IF('Setup Lists'!A98="","",'Setup Lists'!A98)</x:f>
      </x:c>
      <x:c r="B114" s="172" t="str">
        <x:f>IF(A114="","",SUMIF('Home Depot'!$C$8:$C$1007,A114,'Home Depot'!$H$8:$H$1007) + SUMIF('Lowes'!$C$8:$C$1007,A114,'Lowes'!$H$8:$H$1007) + SUMIF('Amazon'!$C$8:$C$1007,A114,'Amazon'!$H$8:$H$1007) + SUMIF('Misc Vendors'!$C$8:$C$1007,A114,'Misc Vendors'!$H$8:$H$1007) + SUMIF('Future Blank'!$C$8:$C$1007,A114,'Future Blank'!$H$8:$H$1007))</x:f>
      </x:c>
      <x:c r="C114" s="173" t="str">
        <x:f>IF(A114="","",COUNTIF('Home Depot'!$C$8:$C$1007,A114) + COUNTIF('Lowes'!$C$8:$C$1007,A114) + COUNTIF('Amazon'!$C$8:$C$1007,A114) + COUNTIF('Misc Vendors'!$C$8:$C$1007,A114) + COUNTIF('Future Blank'!$C$8:$C$1007,A114))</x:f>
      </x:c>
    </x:row>
    <x:row r="115">
      <x:c r="A115" s="162" t="str">
        <x:f>IF('Setup Lists'!A99="","",'Setup Lists'!A99)</x:f>
      </x:c>
      <x:c r="B115" s="172" t="str">
        <x:f>IF(A115="","",SUMIF('Home Depot'!$C$8:$C$1007,A115,'Home Depot'!$H$8:$H$1007) + SUMIF('Lowes'!$C$8:$C$1007,A115,'Lowes'!$H$8:$H$1007) + SUMIF('Amazon'!$C$8:$C$1007,A115,'Amazon'!$H$8:$H$1007) + SUMIF('Misc Vendors'!$C$8:$C$1007,A115,'Misc Vendors'!$H$8:$H$1007) + SUMIF('Future Blank'!$C$8:$C$1007,A115,'Future Blank'!$H$8:$H$1007))</x:f>
      </x:c>
      <x:c r="C115" s="173" t="str">
        <x:f>IF(A115="","",COUNTIF('Home Depot'!$C$8:$C$1007,A115) + COUNTIF('Lowes'!$C$8:$C$1007,A115) + COUNTIF('Amazon'!$C$8:$C$1007,A115) + COUNTIF('Misc Vendors'!$C$8:$C$1007,A115) + COUNTIF('Future Blank'!$C$8:$C$1007,A115))</x:f>
      </x:c>
    </x:row>
    <x:row r="116">
      <x:c r="A116" s="162" t="str">
        <x:f>IF('Setup Lists'!A100="","",'Setup Lists'!A100)</x:f>
      </x:c>
      <x:c r="B116" s="172" t="str">
        <x:f>IF(A116="","",SUMIF('Home Depot'!$C$8:$C$1007,A116,'Home Depot'!$H$8:$H$1007) + SUMIF('Lowes'!$C$8:$C$1007,A116,'Lowes'!$H$8:$H$1007) + SUMIF('Amazon'!$C$8:$C$1007,A116,'Amazon'!$H$8:$H$1007) + SUMIF('Misc Vendors'!$C$8:$C$1007,A116,'Misc Vendors'!$H$8:$H$1007) + SUMIF('Future Blank'!$C$8:$C$1007,A116,'Future Blank'!$H$8:$H$1007))</x:f>
      </x:c>
      <x:c r="C116" s="173" t="str">
        <x:f>IF(A116="","",COUNTIF('Home Depot'!$C$8:$C$1007,A116) + COUNTIF('Lowes'!$C$8:$C$1007,A116) + COUNTIF('Amazon'!$C$8:$C$1007,A116) + COUNTIF('Misc Vendors'!$C$8:$C$1007,A116) + COUNTIF('Future Blank'!$C$8:$C$1007,A116))</x:f>
      </x:c>
    </x:row>
    <x:row r="117">
      <x:c r="A117" s="162" t="str">
        <x:f>IF('Setup Lists'!A101="","",'Setup Lists'!A101)</x:f>
      </x:c>
      <x:c r="B117" s="172" t="str">
        <x:f>IF(A117="","",SUMIF('Home Depot'!$C$8:$C$1007,A117,'Home Depot'!$H$8:$H$1007) + SUMIF('Lowes'!$C$8:$C$1007,A117,'Lowes'!$H$8:$H$1007) + SUMIF('Amazon'!$C$8:$C$1007,A117,'Amazon'!$H$8:$H$1007) + SUMIF('Misc Vendors'!$C$8:$C$1007,A117,'Misc Vendors'!$H$8:$H$1007) + SUMIF('Future Blank'!$C$8:$C$1007,A117,'Future Blank'!$H$8:$H$1007))</x:f>
      </x:c>
      <x:c r="C117" s="173" t="str">
        <x:f>IF(A117="","",COUNTIF('Home Depot'!$C$8:$C$1007,A117) + COUNTIF('Lowes'!$C$8:$C$1007,A117) + COUNTIF('Amazon'!$C$8:$C$1007,A117) + COUNTIF('Misc Vendors'!$C$8:$C$1007,A117) + COUNTIF('Future Blank'!$C$8:$C$1007,A117))</x:f>
      </x:c>
    </x:row>
    <x:row r="118">
      <x:c r="A118" s="162" t="str">
        <x:f>IF('Setup Lists'!A102="","",'Setup Lists'!A102)</x:f>
      </x:c>
      <x:c r="B118" s="172" t="str">
        <x:f>IF(A118="","",SUMIF('Home Depot'!$C$8:$C$1007,A118,'Home Depot'!$H$8:$H$1007) + SUMIF('Lowes'!$C$8:$C$1007,A118,'Lowes'!$H$8:$H$1007) + SUMIF('Amazon'!$C$8:$C$1007,A118,'Amazon'!$H$8:$H$1007) + SUMIF('Misc Vendors'!$C$8:$C$1007,A118,'Misc Vendors'!$H$8:$H$1007) + SUMIF('Future Blank'!$C$8:$C$1007,A118,'Future Blank'!$H$8:$H$1007))</x:f>
      </x:c>
      <x:c r="C118" s="173" t="str">
        <x:f>IF(A118="","",COUNTIF('Home Depot'!$C$8:$C$1007,A118) + COUNTIF('Lowes'!$C$8:$C$1007,A118) + COUNTIF('Amazon'!$C$8:$C$1007,A118) + COUNTIF('Misc Vendors'!$C$8:$C$1007,A118) + COUNTIF('Future Blank'!$C$8:$C$1007,A118))</x:f>
      </x:c>
    </x:row>
    <x:row r="119">
      <x:c r="A119" s="162" t="str">
        <x:f>IF('Setup Lists'!A103="","",'Setup Lists'!A103)</x:f>
      </x:c>
      <x:c r="B119" s="172" t="str">
        <x:f>IF(A119="","",SUMIF('Home Depot'!$C$8:$C$1007,A119,'Home Depot'!$H$8:$H$1007) + SUMIF('Lowes'!$C$8:$C$1007,A119,'Lowes'!$H$8:$H$1007) + SUMIF('Amazon'!$C$8:$C$1007,A119,'Amazon'!$H$8:$H$1007) + SUMIF('Misc Vendors'!$C$8:$C$1007,A119,'Misc Vendors'!$H$8:$H$1007) + SUMIF('Future Blank'!$C$8:$C$1007,A119,'Future Blank'!$H$8:$H$1007))</x:f>
      </x:c>
      <x:c r="C119" s="173" t="str">
        <x:f>IF(A119="","",COUNTIF('Home Depot'!$C$8:$C$1007,A119) + COUNTIF('Lowes'!$C$8:$C$1007,A119) + COUNTIF('Amazon'!$C$8:$C$1007,A119) + COUNTIF('Misc Vendors'!$C$8:$C$1007,A119) + COUNTIF('Future Blank'!$C$8:$C$1007,A119))</x:f>
      </x:c>
    </x:row>
    <x:row r="120">
      <x:c r="A120" s="162" t="str">
        <x:f>IF('Setup Lists'!A104="","",'Setup Lists'!A104)</x:f>
      </x:c>
      <x:c r="B120" s="172" t="str">
        <x:f>IF(A120="","",SUMIF('Home Depot'!$C$8:$C$1007,A120,'Home Depot'!$H$8:$H$1007) + SUMIF('Lowes'!$C$8:$C$1007,A120,'Lowes'!$H$8:$H$1007) + SUMIF('Amazon'!$C$8:$C$1007,A120,'Amazon'!$H$8:$H$1007) + SUMIF('Misc Vendors'!$C$8:$C$1007,A120,'Misc Vendors'!$H$8:$H$1007) + SUMIF('Future Blank'!$C$8:$C$1007,A120,'Future Blank'!$H$8:$H$1007))</x:f>
      </x:c>
      <x:c r="C120" s="173" t="str">
        <x:f>IF(A120="","",COUNTIF('Home Depot'!$C$8:$C$1007,A120) + COUNTIF('Lowes'!$C$8:$C$1007,A120) + COUNTIF('Amazon'!$C$8:$C$1007,A120) + COUNTIF('Misc Vendors'!$C$8:$C$1007,A120) + COUNTIF('Future Blank'!$C$8:$C$1007,A120))</x:f>
      </x:c>
    </x:row>
    <x:row r="121">
      <x:c r="A121" s="162" t="str">
        <x:f>IF('Setup Lists'!A105="","",'Setup Lists'!A105)</x:f>
      </x:c>
      <x:c r="B121" s="172" t="str">
        <x:f>IF(A121="","",SUMIF('Home Depot'!$C$8:$C$1007,A121,'Home Depot'!$H$8:$H$1007) + SUMIF('Lowes'!$C$8:$C$1007,A121,'Lowes'!$H$8:$H$1007) + SUMIF('Amazon'!$C$8:$C$1007,A121,'Amazon'!$H$8:$H$1007) + SUMIF('Misc Vendors'!$C$8:$C$1007,A121,'Misc Vendors'!$H$8:$H$1007) + SUMIF('Future Blank'!$C$8:$C$1007,A121,'Future Blank'!$H$8:$H$1007))</x:f>
      </x:c>
      <x:c r="C121" s="173" t="str">
        <x:f>IF(A121="","",COUNTIF('Home Depot'!$C$8:$C$1007,A121) + COUNTIF('Lowes'!$C$8:$C$1007,A121) + COUNTIF('Amazon'!$C$8:$C$1007,A121) + COUNTIF('Misc Vendors'!$C$8:$C$1007,A121) + COUNTIF('Future Blank'!$C$8:$C$1007,A121))</x:f>
      </x:c>
    </x:row>
    <x:row r="122">
      <x:c r="A122" s="162" t="str">
        <x:f>IF('Setup Lists'!A106="","",'Setup Lists'!A106)</x:f>
      </x:c>
      <x:c r="B122" s="172" t="str">
        <x:f>IF(A122="","",SUMIF('Home Depot'!$C$8:$C$1007,A122,'Home Depot'!$H$8:$H$1007) + SUMIF('Lowes'!$C$8:$C$1007,A122,'Lowes'!$H$8:$H$1007) + SUMIF('Amazon'!$C$8:$C$1007,A122,'Amazon'!$H$8:$H$1007) + SUMIF('Misc Vendors'!$C$8:$C$1007,A122,'Misc Vendors'!$H$8:$H$1007) + SUMIF('Future Blank'!$C$8:$C$1007,A122,'Future Blank'!$H$8:$H$1007))</x:f>
      </x:c>
      <x:c r="C122" s="173" t="str">
        <x:f>IF(A122="","",COUNTIF('Home Depot'!$C$8:$C$1007,A122) + COUNTIF('Lowes'!$C$8:$C$1007,A122) + COUNTIF('Amazon'!$C$8:$C$1007,A122) + COUNTIF('Misc Vendors'!$C$8:$C$1007,A122) + COUNTIF('Future Blank'!$C$8:$C$1007,A122))</x:f>
      </x:c>
    </x:row>
    <x:row r="123">
      <x:c r="A123" s="162" t="str">
        <x:f>IF('Setup Lists'!A107="","",'Setup Lists'!A107)</x:f>
      </x:c>
      <x:c r="B123" s="172" t="str">
        <x:f>IF(A123="","",SUMIF('Home Depot'!$C$8:$C$1007,A123,'Home Depot'!$H$8:$H$1007) + SUMIF('Lowes'!$C$8:$C$1007,A123,'Lowes'!$H$8:$H$1007) + SUMIF('Amazon'!$C$8:$C$1007,A123,'Amazon'!$H$8:$H$1007) + SUMIF('Misc Vendors'!$C$8:$C$1007,A123,'Misc Vendors'!$H$8:$H$1007) + SUMIF('Future Blank'!$C$8:$C$1007,A123,'Future Blank'!$H$8:$H$1007))</x:f>
      </x:c>
      <x:c r="C123" s="173" t="str">
        <x:f>IF(A123="","",COUNTIF('Home Depot'!$C$8:$C$1007,A123) + COUNTIF('Lowes'!$C$8:$C$1007,A123) + COUNTIF('Amazon'!$C$8:$C$1007,A123) + COUNTIF('Misc Vendors'!$C$8:$C$1007,A123) + COUNTIF('Future Blank'!$C$8:$C$1007,A123))</x:f>
      </x:c>
    </x:row>
    <x:row r="124">
      <x:c r="A124" s="162" t="str">
        <x:f>IF('Setup Lists'!A108="","",'Setup Lists'!A108)</x:f>
      </x:c>
      <x:c r="B124" s="172" t="str">
        <x:f>IF(A124="","",SUMIF('Home Depot'!$C$8:$C$1007,A124,'Home Depot'!$H$8:$H$1007) + SUMIF('Lowes'!$C$8:$C$1007,A124,'Lowes'!$H$8:$H$1007) + SUMIF('Amazon'!$C$8:$C$1007,A124,'Amazon'!$H$8:$H$1007) + SUMIF('Misc Vendors'!$C$8:$C$1007,A124,'Misc Vendors'!$H$8:$H$1007) + SUMIF('Future Blank'!$C$8:$C$1007,A124,'Future Blank'!$H$8:$H$1007))</x:f>
      </x:c>
      <x:c r="C124" s="173" t="str">
        <x:f>IF(A124="","",COUNTIF('Home Depot'!$C$8:$C$1007,A124) + COUNTIF('Lowes'!$C$8:$C$1007,A124) + COUNTIF('Amazon'!$C$8:$C$1007,A124) + COUNTIF('Misc Vendors'!$C$8:$C$1007,A124) + COUNTIF('Future Blank'!$C$8:$C$1007,A124))</x:f>
      </x:c>
    </x:row>
    <x:row r="125">
      <x:c r="A125" s="162" t="str">
        <x:f>IF('Setup Lists'!A109="","",'Setup Lists'!A109)</x:f>
      </x:c>
      <x:c r="B125" s="172" t="str">
        <x:f>IF(A125="","",SUMIF('Home Depot'!$C$8:$C$1007,A125,'Home Depot'!$H$8:$H$1007) + SUMIF('Lowes'!$C$8:$C$1007,A125,'Lowes'!$H$8:$H$1007) + SUMIF('Amazon'!$C$8:$C$1007,A125,'Amazon'!$H$8:$H$1007) + SUMIF('Misc Vendors'!$C$8:$C$1007,A125,'Misc Vendors'!$H$8:$H$1007) + SUMIF('Future Blank'!$C$8:$C$1007,A125,'Future Blank'!$H$8:$H$1007))</x:f>
      </x:c>
      <x:c r="C125" s="173" t="str">
        <x:f>IF(A125="","",COUNTIF('Home Depot'!$C$8:$C$1007,A125) + COUNTIF('Lowes'!$C$8:$C$1007,A125) + COUNTIF('Amazon'!$C$8:$C$1007,A125) + COUNTIF('Misc Vendors'!$C$8:$C$1007,A125) + COUNTIF('Future Blank'!$C$8:$C$1007,A125))</x:f>
      </x:c>
    </x:row>
    <x:row r="126">
      <x:c r="A126" s="162" t="str">
        <x:f>IF('Setup Lists'!A110="","",'Setup Lists'!A110)</x:f>
      </x:c>
      <x:c r="B126" s="172" t="str">
        <x:f>IF(A126="","",SUMIF('Home Depot'!$C$8:$C$1007,A126,'Home Depot'!$H$8:$H$1007) + SUMIF('Lowes'!$C$8:$C$1007,A126,'Lowes'!$H$8:$H$1007) + SUMIF('Amazon'!$C$8:$C$1007,A126,'Amazon'!$H$8:$H$1007) + SUMIF('Misc Vendors'!$C$8:$C$1007,A126,'Misc Vendors'!$H$8:$H$1007) + SUMIF('Future Blank'!$C$8:$C$1007,A126,'Future Blank'!$H$8:$H$1007))</x:f>
      </x:c>
      <x:c r="C126" s="173" t="str">
        <x:f>IF(A126="","",COUNTIF('Home Depot'!$C$8:$C$1007,A126) + COUNTIF('Lowes'!$C$8:$C$1007,A126) + COUNTIF('Amazon'!$C$8:$C$1007,A126) + COUNTIF('Misc Vendors'!$C$8:$C$1007,A126) + COUNTIF('Future Blank'!$C$8:$C$1007,A126))</x:f>
      </x:c>
    </x:row>
    <x:row r="127">
      <x:c r="A127" s="162" t="str">
        <x:f>IF('Setup Lists'!A111="","",'Setup Lists'!A111)</x:f>
      </x:c>
      <x:c r="B127" s="172" t="str">
        <x:f>IF(A127="","",SUMIF('Home Depot'!$C$8:$C$1007,A127,'Home Depot'!$H$8:$H$1007) + SUMIF('Lowes'!$C$8:$C$1007,A127,'Lowes'!$H$8:$H$1007) + SUMIF('Amazon'!$C$8:$C$1007,A127,'Amazon'!$H$8:$H$1007) + SUMIF('Misc Vendors'!$C$8:$C$1007,A127,'Misc Vendors'!$H$8:$H$1007) + SUMIF('Future Blank'!$C$8:$C$1007,A127,'Future Blank'!$H$8:$H$1007))</x:f>
      </x:c>
      <x:c r="C127" s="173" t="str">
        <x:f>IF(A127="","",COUNTIF('Home Depot'!$C$8:$C$1007,A127) + COUNTIF('Lowes'!$C$8:$C$1007,A127) + COUNTIF('Amazon'!$C$8:$C$1007,A127) + COUNTIF('Misc Vendors'!$C$8:$C$1007,A127) + COUNTIF('Future Blank'!$C$8:$C$1007,A127))</x:f>
      </x:c>
    </x:row>
    <x:row r="128">
      <x:c r="A128" s="162" t="str">
        <x:f>IF('Setup Lists'!A112="","",'Setup Lists'!A112)</x:f>
      </x:c>
      <x:c r="B128" s="172" t="str">
        <x:f>IF(A128="","",SUMIF('Home Depot'!$C$8:$C$1007,A128,'Home Depot'!$H$8:$H$1007) + SUMIF('Lowes'!$C$8:$C$1007,A128,'Lowes'!$H$8:$H$1007) + SUMIF('Amazon'!$C$8:$C$1007,A128,'Amazon'!$H$8:$H$1007) + SUMIF('Misc Vendors'!$C$8:$C$1007,A128,'Misc Vendors'!$H$8:$H$1007) + SUMIF('Future Blank'!$C$8:$C$1007,A128,'Future Blank'!$H$8:$H$1007))</x:f>
      </x:c>
      <x:c r="C128" s="173" t="str">
        <x:f>IF(A128="","",COUNTIF('Home Depot'!$C$8:$C$1007,A128) + COUNTIF('Lowes'!$C$8:$C$1007,A128) + COUNTIF('Amazon'!$C$8:$C$1007,A128) + COUNTIF('Misc Vendors'!$C$8:$C$1007,A128) + COUNTIF('Future Blank'!$C$8:$C$1007,A128))</x:f>
      </x:c>
    </x:row>
    <x:row r="129">
      <x:c r="A129" s="162" t="str">
        <x:f>IF('Setup Lists'!A113="","",'Setup Lists'!A113)</x:f>
      </x:c>
      <x:c r="B129" s="172" t="str">
        <x:f>IF(A129="","",SUMIF('Home Depot'!$C$8:$C$1007,A129,'Home Depot'!$H$8:$H$1007) + SUMIF('Lowes'!$C$8:$C$1007,A129,'Lowes'!$H$8:$H$1007) + SUMIF('Amazon'!$C$8:$C$1007,A129,'Amazon'!$H$8:$H$1007) + SUMIF('Misc Vendors'!$C$8:$C$1007,A129,'Misc Vendors'!$H$8:$H$1007) + SUMIF('Future Blank'!$C$8:$C$1007,A129,'Future Blank'!$H$8:$H$1007))</x:f>
      </x:c>
      <x:c r="C129" s="173" t="str">
        <x:f>IF(A129="","",COUNTIF('Home Depot'!$C$8:$C$1007,A129) + COUNTIF('Lowes'!$C$8:$C$1007,A129) + COUNTIF('Amazon'!$C$8:$C$1007,A129) + COUNTIF('Misc Vendors'!$C$8:$C$1007,A129) + COUNTIF('Future Blank'!$C$8:$C$1007,A129))</x:f>
      </x:c>
    </x:row>
    <x:row r="130">
      <x:c r="A130" s="162" t="str">
        <x:f>IF('Setup Lists'!A114="","",'Setup Lists'!A114)</x:f>
      </x:c>
      <x:c r="B130" s="172" t="str">
        <x:f>IF(A130="","",SUMIF('Home Depot'!$C$8:$C$1007,A130,'Home Depot'!$H$8:$H$1007) + SUMIF('Lowes'!$C$8:$C$1007,A130,'Lowes'!$H$8:$H$1007) + SUMIF('Amazon'!$C$8:$C$1007,A130,'Amazon'!$H$8:$H$1007) + SUMIF('Misc Vendors'!$C$8:$C$1007,A130,'Misc Vendors'!$H$8:$H$1007) + SUMIF('Future Blank'!$C$8:$C$1007,A130,'Future Blank'!$H$8:$H$1007))</x:f>
      </x:c>
      <x:c r="C130" s="173" t="str">
        <x:f>IF(A130="","",COUNTIF('Home Depot'!$C$8:$C$1007,A130) + COUNTIF('Lowes'!$C$8:$C$1007,A130) + COUNTIF('Amazon'!$C$8:$C$1007,A130) + COUNTIF('Misc Vendors'!$C$8:$C$1007,A130) + COUNTIF('Future Blank'!$C$8:$C$1007,A130))</x:f>
      </x:c>
    </x:row>
    <x:row r="131">
      <x:c r="A131" s="162" t="str">
        <x:f>IF('Setup Lists'!A115="","",'Setup Lists'!A115)</x:f>
      </x:c>
      <x:c r="B131" s="172" t="str">
        <x:f>IF(A131="","",SUMIF('Home Depot'!$C$8:$C$1007,A131,'Home Depot'!$H$8:$H$1007) + SUMIF('Lowes'!$C$8:$C$1007,A131,'Lowes'!$H$8:$H$1007) + SUMIF('Amazon'!$C$8:$C$1007,A131,'Amazon'!$H$8:$H$1007) + SUMIF('Misc Vendors'!$C$8:$C$1007,A131,'Misc Vendors'!$H$8:$H$1007) + SUMIF('Future Blank'!$C$8:$C$1007,A131,'Future Blank'!$H$8:$H$1007))</x:f>
      </x:c>
      <x:c r="C131" s="173" t="str">
        <x:f>IF(A131="","",COUNTIF('Home Depot'!$C$8:$C$1007,A131) + COUNTIF('Lowes'!$C$8:$C$1007,A131) + COUNTIF('Amazon'!$C$8:$C$1007,A131) + COUNTIF('Misc Vendors'!$C$8:$C$1007,A131) + COUNTIF('Future Blank'!$C$8:$C$1007,A131))</x:f>
      </x:c>
    </x:row>
    <x:row r="132">
      <x:c r="A132" s="162" t="str">
        <x:f>IF('Setup Lists'!A116="","",'Setup Lists'!A116)</x:f>
      </x:c>
      <x:c r="B132" s="172" t="str">
        <x:f>IF(A132="","",SUMIF('Home Depot'!$C$8:$C$1007,A132,'Home Depot'!$H$8:$H$1007) + SUMIF('Lowes'!$C$8:$C$1007,A132,'Lowes'!$H$8:$H$1007) + SUMIF('Amazon'!$C$8:$C$1007,A132,'Amazon'!$H$8:$H$1007) + SUMIF('Misc Vendors'!$C$8:$C$1007,A132,'Misc Vendors'!$H$8:$H$1007) + SUMIF('Future Blank'!$C$8:$C$1007,A132,'Future Blank'!$H$8:$H$1007))</x:f>
      </x:c>
      <x:c r="C132" s="173" t="str">
        <x:f>IF(A132="","",COUNTIF('Home Depot'!$C$8:$C$1007,A132) + COUNTIF('Lowes'!$C$8:$C$1007,A132) + COUNTIF('Amazon'!$C$8:$C$1007,A132) + COUNTIF('Misc Vendors'!$C$8:$C$1007,A132) + COUNTIF('Future Blank'!$C$8:$C$1007,A132))</x:f>
      </x:c>
    </x:row>
    <x:row r="133">
      <x:c r="A133" s="162" t="str">
        <x:f>IF('Setup Lists'!A117="","",'Setup Lists'!A117)</x:f>
      </x:c>
      <x:c r="B133" s="172" t="str">
        <x:f>IF(A133="","",SUMIF('Home Depot'!$C$8:$C$1007,A133,'Home Depot'!$H$8:$H$1007) + SUMIF('Lowes'!$C$8:$C$1007,A133,'Lowes'!$H$8:$H$1007) + SUMIF('Amazon'!$C$8:$C$1007,A133,'Amazon'!$H$8:$H$1007) + SUMIF('Misc Vendors'!$C$8:$C$1007,A133,'Misc Vendors'!$H$8:$H$1007) + SUMIF('Future Blank'!$C$8:$C$1007,A133,'Future Blank'!$H$8:$H$1007))</x:f>
      </x:c>
      <x:c r="C133" s="173" t="str">
        <x:f>IF(A133="","",COUNTIF('Home Depot'!$C$8:$C$1007,A133) + COUNTIF('Lowes'!$C$8:$C$1007,A133) + COUNTIF('Amazon'!$C$8:$C$1007,A133) + COUNTIF('Misc Vendors'!$C$8:$C$1007,A133) + COUNTIF('Future Blank'!$C$8:$C$1007,A133))</x:f>
      </x:c>
    </x:row>
    <x:row r="134">
      <x:c r="A134" s="162" t="str">
        <x:f>IF('Setup Lists'!A118="","",'Setup Lists'!A118)</x:f>
      </x:c>
      <x:c r="B134" s="172" t="str">
        <x:f>IF(A134="","",SUMIF('Home Depot'!$C$8:$C$1007,A134,'Home Depot'!$H$8:$H$1007) + SUMIF('Lowes'!$C$8:$C$1007,A134,'Lowes'!$H$8:$H$1007) + SUMIF('Amazon'!$C$8:$C$1007,A134,'Amazon'!$H$8:$H$1007) + SUMIF('Misc Vendors'!$C$8:$C$1007,A134,'Misc Vendors'!$H$8:$H$1007) + SUMIF('Future Blank'!$C$8:$C$1007,A134,'Future Blank'!$H$8:$H$1007))</x:f>
      </x:c>
      <x:c r="C134" s="173" t="str">
        <x:f>IF(A134="","",COUNTIF('Home Depot'!$C$8:$C$1007,A134) + COUNTIF('Lowes'!$C$8:$C$1007,A134) + COUNTIF('Amazon'!$C$8:$C$1007,A134) + COUNTIF('Misc Vendors'!$C$8:$C$1007,A134) + COUNTIF('Future Blank'!$C$8:$C$1007,A134))</x:f>
      </x:c>
    </x:row>
    <x:row r="135">
      <x:c r="A135" s="162" t="str">
        <x:f>IF('Setup Lists'!A119="","",'Setup Lists'!A119)</x:f>
      </x:c>
      <x:c r="B135" s="172" t="str">
        <x:f>IF(A135="","",SUMIF('Home Depot'!$C$8:$C$1007,A135,'Home Depot'!$H$8:$H$1007) + SUMIF('Lowes'!$C$8:$C$1007,A135,'Lowes'!$H$8:$H$1007) + SUMIF('Amazon'!$C$8:$C$1007,A135,'Amazon'!$H$8:$H$1007) + SUMIF('Misc Vendors'!$C$8:$C$1007,A135,'Misc Vendors'!$H$8:$H$1007) + SUMIF('Future Blank'!$C$8:$C$1007,A135,'Future Blank'!$H$8:$H$1007))</x:f>
      </x:c>
      <x:c r="C135" s="173" t="str">
        <x:f>IF(A135="","",COUNTIF('Home Depot'!$C$8:$C$1007,A135) + COUNTIF('Lowes'!$C$8:$C$1007,A135) + COUNTIF('Amazon'!$C$8:$C$1007,A135) + COUNTIF('Misc Vendors'!$C$8:$C$1007,A135) + COUNTIF('Future Blank'!$C$8:$C$1007,A135))</x:f>
      </x:c>
    </x:row>
    <x:row r="136">
      <x:c r="A136" s="162" t="str">
        <x:f>IF('Setup Lists'!A120="","",'Setup Lists'!A120)</x:f>
      </x:c>
      <x:c r="B136" s="172" t="str">
        <x:f>IF(A136="","",SUMIF('Home Depot'!$C$8:$C$1007,A136,'Home Depot'!$H$8:$H$1007) + SUMIF('Lowes'!$C$8:$C$1007,A136,'Lowes'!$H$8:$H$1007) + SUMIF('Amazon'!$C$8:$C$1007,A136,'Amazon'!$H$8:$H$1007) + SUMIF('Misc Vendors'!$C$8:$C$1007,A136,'Misc Vendors'!$H$8:$H$1007) + SUMIF('Future Blank'!$C$8:$C$1007,A136,'Future Blank'!$H$8:$H$1007))</x:f>
      </x:c>
      <x:c r="C136" s="173" t="str">
        <x:f>IF(A136="","",COUNTIF('Home Depot'!$C$8:$C$1007,A136) + COUNTIF('Lowes'!$C$8:$C$1007,A136) + COUNTIF('Amazon'!$C$8:$C$1007,A136) + COUNTIF('Misc Vendors'!$C$8:$C$1007,A136) + COUNTIF('Future Blank'!$C$8:$C$1007,A136))</x:f>
      </x:c>
    </x:row>
    <x:row r="137">
      <x:c r="A137" s="162" t="str">
        <x:f>IF('Setup Lists'!A121="","",'Setup Lists'!A121)</x:f>
      </x:c>
      <x:c r="B137" s="172" t="str">
        <x:f>IF(A137="","",SUMIF('Home Depot'!$C$8:$C$1007,A137,'Home Depot'!$H$8:$H$1007) + SUMIF('Lowes'!$C$8:$C$1007,A137,'Lowes'!$H$8:$H$1007) + SUMIF('Amazon'!$C$8:$C$1007,A137,'Amazon'!$H$8:$H$1007) + SUMIF('Misc Vendors'!$C$8:$C$1007,A137,'Misc Vendors'!$H$8:$H$1007) + SUMIF('Future Blank'!$C$8:$C$1007,A137,'Future Blank'!$H$8:$H$1007))</x:f>
      </x:c>
      <x:c r="C137" s="173" t="str">
        <x:f>IF(A137="","",COUNTIF('Home Depot'!$C$8:$C$1007,A137) + COUNTIF('Lowes'!$C$8:$C$1007,A137) + COUNTIF('Amazon'!$C$8:$C$1007,A137) + COUNTIF('Misc Vendors'!$C$8:$C$1007,A137) + COUNTIF('Future Blank'!$C$8:$C$1007,A137))</x:f>
      </x:c>
    </x:row>
    <x:row r="138">
      <x:c r="A138" s="162" t="str">
        <x:f>IF('Setup Lists'!A122="","",'Setup Lists'!A122)</x:f>
      </x:c>
      <x:c r="B138" s="172" t="str">
        <x:f>IF(A138="","",SUMIF('Home Depot'!$C$8:$C$1007,A138,'Home Depot'!$H$8:$H$1007) + SUMIF('Lowes'!$C$8:$C$1007,A138,'Lowes'!$H$8:$H$1007) + SUMIF('Amazon'!$C$8:$C$1007,A138,'Amazon'!$H$8:$H$1007) + SUMIF('Misc Vendors'!$C$8:$C$1007,A138,'Misc Vendors'!$H$8:$H$1007) + SUMIF('Future Blank'!$C$8:$C$1007,A138,'Future Blank'!$H$8:$H$1007))</x:f>
      </x:c>
      <x:c r="C138" s="173" t="str">
        <x:f>IF(A138="","",COUNTIF('Home Depot'!$C$8:$C$1007,A138) + COUNTIF('Lowes'!$C$8:$C$1007,A138) + COUNTIF('Amazon'!$C$8:$C$1007,A138) + COUNTIF('Misc Vendors'!$C$8:$C$1007,A138) + COUNTIF('Future Blank'!$C$8:$C$1007,A138))</x:f>
      </x:c>
    </x:row>
    <x:row r="139">
      <x:c r="A139" s="162" t="str">
        <x:f>IF('Setup Lists'!A123="","",'Setup Lists'!A123)</x:f>
      </x:c>
      <x:c r="B139" s="172" t="str">
        <x:f>IF(A139="","",SUMIF('Home Depot'!$C$8:$C$1007,A139,'Home Depot'!$H$8:$H$1007) + SUMIF('Lowes'!$C$8:$C$1007,A139,'Lowes'!$H$8:$H$1007) + SUMIF('Amazon'!$C$8:$C$1007,A139,'Amazon'!$H$8:$H$1007) + SUMIF('Misc Vendors'!$C$8:$C$1007,A139,'Misc Vendors'!$H$8:$H$1007) + SUMIF('Future Blank'!$C$8:$C$1007,A139,'Future Blank'!$H$8:$H$1007))</x:f>
      </x:c>
      <x:c r="C139" s="173" t="str">
        <x:f>IF(A139="","",COUNTIF('Home Depot'!$C$8:$C$1007,A139) + COUNTIF('Lowes'!$C$8:$C$1007,A139) + COUNTIF('Amazon'!$C$8:$C$1007,A139) + COUNTIF('Misc Vendors'!$C$8:$C$1007,A139) + COUNTIF('Future Blank'!$C$8:$C$1007,A139))</x:f>
      </x:c>
    </x:row>
    <x:row r="140">
      <x:c r="A140" s="162" t="str">
        <x:f>IF('Setup Lists'!A124="","",'Setup Lists'!A124)</x:f>
      </x:c>
      <x:c r="B140" s="172" t="str">
        <x:f>IF(A140="","",SUMIF('Home Depot'!$C$8:$C$1007,A140,'Home Depot'!$H$8:$H$1007) + SUMIF('Lowes'!$C$8:$C$1007,A140,'Lowes'!$H$8:$H$1007) + SUMIF('Amazon'!$C$8:$C$1007,A140,'Amazon'!$H$8:$H$1007) + SUMIF('Misc Vendors'!$C$8:$C$1007,A140,'Misc Vendors'!$H$8:$H$1007) + SUMIF('Future Blank'!$C$8:$C$1007,A140,'Future Blank'!$H$8:$H$1007))</x:f>
      </x:c>
      <x:c r="C140" s="173" t="str">
        <x:f>IF(A140="","",COUNTIF('Home Depot'!$C$8:$C$1007,A140) + COUNTIF('Lowes'!$C$8:$C$1007,A140) + COUNTIF('Amazon'!$C$8:$C$1007,A140) + COUNTIF('Misc Vendors'!$C$8:$C$1007,A140) + COUNTIF('Future Blank'!$C$8:$C$1007,A140))</x:f>
      </x:c>
    </x:row>
    <x:row r="141">
      <x:c r="A141" s="162" t="str">
        <x:f>IF('Setup Lists'!A125="","",'Setup Lists'!A125)</x:f>
      </x:c>
      <x:c r="B141" s="172" t="str">
        <x:f>IF(A141="","",SUMIF('Home Depot'!$C$8:$C$1007,A141,'Home Depot'!$H$8:$H$1007) + SUMIF('Lowes'!$C$8:$C$1007,A141,'Lowes'!$H$8:$H$1007) + SUMIF('Amazon'!$C$8:$C$1007,A141,'Amazon'!$H$8:$H$1007) + SUMIF('Misc Vendors'!$C$8:$C$1007,A141,'Misc Vendors'!$H$8:$H$1007) + SUMIF('Future Blank'!$C$8:$C$1007,A141,'Future Blank'!$H$8:$H$1007))</x:f>
      </x:c>
      <x:c r="C141" s="173" t="str">
        <x:f>IF(A141="","",COUNTIF('Home Depot'!$C$8:$C$1007,A141) + COUNTIF('Lowes'!$C$8:$C$1007,A141) + COUNTIF('Amazon'!$C$8:$C$1007,A141) + COUNTIF('Misc Vendors'!$C$8:$C$1007,A141) + COUNTIF('Future Blank'!$C$8:$C$1007,A141))</x:f>
      </x:c>
    </x:row>
    <x:row r="142">
      <x:c r="A142" s="162" t="str">
        <x:f>IF('Setup Lists'!A126="","",'Setup Lists'!A126)</x:f>
      </x:c>
      <x:c r="B142" s="172" t="str">
        <x:f>IF(A142="","",SUMIF('Home Depot'!$C$8:$C$1007,A142,'Home Depot'!$H$8:$H$1007) + SUMIF('Lowes'!$C$8:$C$1007,A142,'Lowes'!$H$8:$H$1007) + SUMIF('Amazon'!$C$8:$C$1007,A142,'Amazon'!$H$8:$H$1007) + SUMIF('Misc Vendors'!$C$8:$C$1007,A142,'Misc Vendors'!$H$8:$H$1007) + SUMIF('Future Blank'!$C$8:$C$1007,A142,'Future Blank'!$H$8:$H$1007))</x:f>
      </x:c>
      <x:c r="C142" s="173" t="str">
        <x:f>IF(A142="","",COUNTIF('Home Depot'!$C$8:$C$1007,A142) + COUNTIF('Lowes'!$C$8:$C$1007,A142) + COUNTIF('Amazon'!$C$8:$C$1007,A142) + COUNTIF('Misc Vendors'!$C$8:$C$1007,A142) + COUNTIF('Future Blank'!$C$8:$C$1007,A142))</x:f>
      </x:c>
    </x:row>
    <x:row r="143">
      <x:c r="A143" s="162" t="str">
        <x:f>IF('Setup Lists'!A127="","",'Setup Lists'!A127)</x:f>
      </x:c>
      <x:c r="B143" s="172" t="str">
        <x:f>IF(A143="","",SUMIF('Home Depot'!$C$8:$C$1007,A143,'Home Depot'!$H$8:$H$1007) + SUMIF('Lowes'!$C$8:$C$1007,A143,'Lowes'!$H$8:$H$1007) + SUMIF('Amazon'!$C$8:$C$1007,A143,'Amazon'!$H$8:$H$1007) + SUMIF('Misc Vendors'!$C$8:$C$1007,A143,'Misc Vendors'!$H$8:$H$1007) + SUMIF('Future Blank'!$C$8:$C$1007,A143,'Future Blank'!$H$8:$H$1007))</x:f>
      </x:c>
      <x:c r="C143" s="173" t="str">
        <x:f>IF(A143="","",COUNTIF('Home Depot'!$C$8:$C$1007,A143) + COUNTIF('Lowes'!$C$8:$C$1007,A143) + COUNTIF('Amazon'!$C$8:$C$1007,A143) + COUNTIF('Misc Vendors'!$C$8:$C$1007,A143) + COUNTIF('Future Blank'!$C$8:$C$1007,A143))</x:f>
      </x:c>
    </x:row>
    <x:row r="144">
      <x:c r="A144" s="162" t="str">
        <x:f>IF('Setup Lists'!A128="","",'Setup Lists'!A128)</x:f>
      </x:c>
      <x:c r="B144" s="172" t="str">
        <x:f>IF(A144="","",SUMIF('Home Depot'!$C$8:$C$1007,A144,'Home Depot'!$H$8:$H$1007) + SUMIF('Lowes'!$C$8:$C$1007,A144,'Lowes'!$H$8:$H$1007) + SUMIF('Amazon'!$C$8:$C$1007,A144,'Amazon'!$H$8:$H$1007) + SUMIF('Misc Vendors'!$C$8:$C$1007,A144,'Misc Vendors'!$H$8:$H$1007) + SUMIF('Future Blank'!$C$8:$C$1007,A144,'Future Blank'!$H$8:$H$1007))</x:f>
      </x:c>
      <x:c r="C144" s="173" t="str">
        <x:f>IF(A144="","",COUNTIF('Home Depot'!$C$8:$C$1007,A144) + COUNTIF('Lowes'!$C$8:$C$1007,A144) + COUNTIF('Amazon'!$C$8:$C$1007,A144) + COUNTIF('Misc Vendors'!$C$8:$C$1007,A144) + COUNTIF('Future Blank'!$C$8:$C$1007,A144))</x:f>
      </x:c>
    </x:row>
    <x:row r="145">
      <x:c r="A145" s="162" t="str">
        <x:f>IF('Setup Lists'!A129="","",'Setup Lists'!A129)</x:f>
      </x:c>
      <x:c r="B145" s="172" t="str">
        <x:f>IF(A145="","",SUMIF('Home Depot'!$C$8:$C$1007,A145,'Home Depot'!$H$8:$H$1007) + SUMIF('Lowes'!$C$8:$C$1007,A145,'Lowes'!$H$8:$H$1007) + SUMIF('Amazon'!$C$8:$C$1007,A145,'Amazon'!$H$8:$H$1007) + SUMIF('Misc Vendors'!$C$8:$C$1007,A145,'Misc Vendors'!$H$8:$H$1007) + SUMIF('Future Blank'!$C$8:$C$1007,A145,'Future Blank'!$H$8:$H$1007))</x:f>
      </x:c>
      <x:c r="C145" s="173" t="str">
        <x:f>IF(A145="","",COUNTIF('Home Depot'!$C$8:$C$1007,A145) + COUNTIF('Lowes'!$C$8:$C$1007,A145) + COUNTIF('Amazon'!$C$8:$C$1007,A145) + COUNTIF('Misc Vendors'!$C$8:$C$1007,A145) + COUNTIF('Future Blank'!$C$8:$C$1007,A145))</x:f>
      </x:c>
    </x:row>
    <x:row r="146">
      <x:c r="A146" s="162" t="str">
        <x:f>IF('Setup Lists'!A130="","",'Setup Lists'!A130)</x:f>
      </x:c>
      <x:c r="B146" s="172" t="str">
        <x:f>IF(A146="","",SUMIF('Home Depot'!$C$8:$C$1007,A146,'Home Depot'!$H$8:$H$1007) + SUMIF('Lowes'!$C$8:$C$1007,A146,'Lowes'!$H$8:$H$1007) + SUMIF('Amazon'!$C$8:$C$1007,A146,'Amazon'!$H$8:$H$1007) + SUMIF('Misc Vendors'!$C$8:$C$1007,A146,'Misc Vendors'!$H$8:$H$1007) + SUMIF('Future Blank'!$C$8:$C$1007,A146,'Future Blank'!$H$8:$H$1007))</x:f>
      </x:c>
      <x:c r="C146" s="173" t="str">
        <x:f>IF(A146="","",COUNTIF('Home Depot'!$C$8:$C$1007,A146) + COUNTIF('Lowes'!$C$8:$C$1007,A146) + COUNTIF('Amazon'!$C$8:$C$1007,A146) + COUNTIF('Misc Vendors'!$C$8:$C$1007,A146) + COUNTIF('Future Blank'!$C$8:$C$1007,A146))</x:f>
      </x:c>
    </x:row>
    <x:row r="147">
      <x:c r="A147" s="162" t="str">
        <x:f>IF('Setup Lists'!A131="","",'Setup Lists'!A131)</x:f>
      </x:c>
      <x:c r="B147" s="172" t="str">
        <x:f>IF(A147="","",SUMIF('Home Depot'!$C$8:$C$1007,A147,'Home Depot'!$H$8:$H$1007) + SUMIF('Lowes'!$C$8:$C$1007,A147,'Lowes'!$H$8:$H$1007) + SUMIF('Amazon'!$C$8:$C$1007,A147,'Amazon'!$H$8:$H$1007) + SUMIF('Misc Vendors'!$C$8:$C$1007,A147,'Misc Vendors'!$H$8:$H$1007) + SUMIF('Future Blank'!$C$8:$C$1007,A147,'Future Blank'!$H$8:$H$1007))</x:f>
      </x:c>
      <x:c r="C147" s="173" t="str">
        <x:f>IF(A147="","",COUNTIF('Home Depot'!$C$8:$C$1007,A147) + COUNTIF('Lowes'!$C$8:$C$1007,A147) + COUNTIF('Amazon'!$C$8:$C$1007,A147) + COUNTIF('Misc Vendors'!$C$8:$C$1007,A147) + COUNTIF('Future Blank'!$C$8:$C$1007,A147))</x:f>
      </x:c>
    </x:row>
    <x:row r="148">
      <x:c r="A148" s="162" t="str">
        <x:f>IF('Setup Lists'!A132="","",'Setup Lists'!A132)</x:f>
      </x:c>
      <x:c r="B148" s="172" t="str">
        <x:f>IF(A148="","",SUMIF('Home Depot'!$C$8:$C$1007,A148,'Home Depot'!$H$8:$H$1007) + SUMIF('Lowes'!$C$8:$C$1007,A148,'Lowes'!$H$8:$H$1007) + SUMIF('Amazon'!$C$8:$C$1007,A148,'Amazon'!$H$8:$H$1007) + SUMIF('Misc Vendors'!$C$8:$C$1007,A148,'Misc Vendors'!$H$8:$H$1007) + SUMIF('Future Blank'!$C$8:$C$1007,A148,'Future Blank'!$H$8:$H$1007))</x:f>
      </x:c>
      <x:c r="C148" s="173" t="str">
        <x:f>IF(A148="","",COUNTIF('Home Depot'!$C$8:$C$1007,A148) + COUNTIF('Lowes'!$C$8:$C$1007,A148) + COUNTIF('Amazon'!$C$8:$C$1007,A148) + COUNTIF('Misc Vendors'!$C$8:$C$1007,A148) + COUNTIF('Future Blank'!$C$8:$C$1007,A148))</x:f>
      </x:c>
    </x:row>
    <x:row r="149">
      <x:c r="A149" s="162" t="str">
        <x:f>IF('Setup Lists'!A133="","",'Setup Lists'!A133)</x:f>
      </x:c>
      <x:c r="B149" s="172" t="str">
        <x:f>IF(A149="","",SUMIF('Home Depot'!$C$8:$C$1007,A149,'Home Depot'!$H$8:$H$1007) + SUMIF('Lowes'!$C$8:$C$1007,A149,'Lowes'!$H$8:$H$1007) + SUMIF('Amazon'!$C$8:$C$1007,A149,'Amazon'!$H$8:$H$1007) + SUMIF('Misc Vendors'!$C$8:$C$1007,A149,'Misc Vendors'!$H$8:$H$1007) + SUMIF('Future Blank'!$C$8:$C$1007,A149,'Future Blank'!$H$8:$H$1007))</x:f>
      </x:c>
      <x:c r="C149" s="173" t="str">
        <x:f>IF(A149="","",COUNTIF('Home Depot'!$C$8:$C$1007,A149) + COUNTIF('Lowes'!$C$8:$C$1007,A149) + COUNTIF('Amazon'!$C$8:$C$1007,A149) + COUNTIF('Misc Vendors'!$C$8:$C$1007,A149) + COUNTIF('Future Blank'!$C$8:$C$1007,A149))</x:f>
      </x:c>
    </x:row>
    <x:row r="150">
      <x:c r="A150" s="162" t="str">
        <x:f>IF('Setup Lists'!A134="","",'Setup Lists'!A134)</x:f>
      </x:c>
      <x:c r="B150" s="172" t="str">
        <x:f>IF(A150="","",SUMIF('Home Depot'!$C$8:$C$1007,A150,'Home Depot'!$H$8:$H$1007) + SUMIF('Lowes'!$C$8:$C$1007,A150,'Lowes'!$H$8:$H$1007) + SUMIF('Amazon'!$C$8:$C$1007,A150,'Amazon'!$H$8:$H$1007) + SUMIF('Misc Vendors'!$C$8:$C$1007,A150,'Misc Vendors'!$H$8:$H$1007) + SUMIF('Future Blank'!$C$8:$C$1007,A150,'Future Blank'!$H$8:$H$1007))</x:f>
      </x:c>
      <x:c r="C150" s="173" t="str">
        <x:f>IF(A150="","",COUNTIF('Home Depot'!$C$8:$C$1007,A150) + COUNTIF('Lowes'!$C$8:$C$1007,A150) + COUNTIF('Amazon'!$C$8:$C$1007,A150) + COUNTIF('Misc Vendors'!$C$8:$C$1007,A150) + COUNTIF('Future Blank'!$C$8:$C$1007,A150))</x:f>
      </x:c>
    </x:row>
    <x:row r="151">
      <x:c r="A151" s="162" t="str">
        <x:f>IF('Setup Lists'!A135="","",'Setup Lists'!A135)</x:f>
      </x:c>
      <x:c r="B151" s="172" t="str">
        <x:f>IF(A151="","",SUMIF('Home Depot'!$C$8:$C$1007,A151,'Home Depot'!$H$8:$H$1007) + SUMIF('Lowes'!$C$8:$C$1007,A151,'Lowes'!$H$8:$H$1007) + SUMIF('Amazon'!$C$8:$C$1007,A151,'Amazon'!$H$8:$H$1007) + SUMIF('Misc Vendors'!$C$8:$C$1007,A151,'Misc Vendors'!$H$8:$H$1007) + SUMIF('Future Blank'!$C$8:$C$1007,A151,'Future Blank'!$H$8:$H$1007))</x:f>
      </x:c>
      <x:c r="C151" s="173" t="str">
        <x:f>IF(A151="","",COUNTIF('Home Depot'!$C$8:$C$1007,A151) + COUNTIF('Lowes'!$C$8:$C$1007,A151) + COUNTIF('Amazon'!$C$8:$C$1007,A151) + COUNTIF('Misc Vendors'!$C$8:$C$1007,A151) + COUNTIF('Future Blank'!$C$8:$C$1007,A151))</x:f>
      </x:c>
    </x:row>
    <x:row r="152">
      <x:c r="A152" s="162" t="str">
        <x:f>IF('Setup Lists'!A136="","",'Setup Lists'!A136)</x:f>
      </x:c>
      <x:c r="B152" s="172" t="str">
        <x:f>IF(A152="","",SUMIF('Home Depot'!$C$8:$C$1007,A152,'Home Depot'!$H$8:$H$1007) + SUMIF('Lowes'!$C$8:$C$1007,A152,'Lowes'!$H$8:$H$1007) + SUMIF('Amazon'!$C$8:$C$1007,A152,'Amazon'!$H$8:$H$1007) + SUMIF('Misc Vendors'!$C$8:$C$1007,A152,'Misc Vendors'!$H$8:$H$1007) + SUMIF('Future Blank'!$C$8:$C$1007,A152,'Future Blank'!$H$8:$H$1007))</x:f>
      </x:c>
      <x:c r="C152" s="173" t="str">
        <x:f>IF(A152="","",COUNTIF('Home Depot'!$C$8:$C$1007,A152) + COUNTIF('Lowes'!$C$8:$C$1007,A152) + COUNTIF('Amazon'!$C$8:$C$1007,A152) + COUNTIF('Misc Vendors'!$C$8:$C$1007,A152) + COUNTIF('Future Blank'!$C$8:$C$1007,A152))</x:f>
      </x:c>
    </x:row>
    <x:row r="153">
      <x:c r="A153" s="162" t="str">
        <x:f>IF('Setup Lists'!A137="","",'Setup Lists'!A137)</x:f>
      </x:c>
      <x:c r="B153" s="172" t="str">
        <x:f>IF(A153="","",SUMIF('Home Depot'!$C$8:$C$1007,A153,'Home Depot'!$H$8:$H$1007) + SUMIF('Lowes'!$C$8:$C$1007,A153,'Lowes'!$H$8:$H$1007) + SUMIF('Amazon'!$C$8:$C$1007,A153,'Amazon'!$H$8:$H$1007) + SUMIF('Misc Vendors'!$C$8:$C$1007,A153,'Misc Vendors'!$H$8:$H$1007) + SUMIF('Future Blank'!$C$8:$C$1007,A153,'Future Blank'!$H$8:$H$1007))</x:f>
      </x:c>
      <x:c r="C153" s="173" t="str">
        <x:f>IF(A153="","",COUNTIF('Home Depot'!$C$8:$C$1007,A153) + COUNTIF('Lowes'!$C$8:$C$1007,A153) + COUNTIF('Amazon'!$C$8:$C$1007,A153) + COUNTIF('Misc Vendors'!$C$8:$C$1007,A153) + COUNTIF('Future Blank'!$C$8:$C$1007,A153))</x:f>
      </x:c>
    </x:row>
    <x:row r="154">
      <x:c r="A154" s="162" t="str">
        <x:f>IF('Setup Lists'!A138="","",'Setup Lists'!A138)</x:f>
      </x:c>
      <x:c r="B154" s="172" t="str">
        <x:f>IF(A154="","",SUMIF('Home Depot'!$C$8:$C$1007,A154,'Home Depot'!$H$8:$H$1007) + SUMIF('Lowes'!$C$8:$C$1007,A154,'Lowes'!$H$8:$H$1007) + SUMIF('Amazon'!$C$8:$C$1007,A154,'Amazon'!$H$8:$H$1007) + SUMIF('Misc Vendors'!$C$8:$C$1007,A154,'Misc Vendors'!$H$8:$H$1007) + SUMIF('Future Blank'!$C$8:$C$1007,A154,'Future Blank'!$H$8:$H$1007))</x:f>
      </x:c>
      <x:c r="C154" s="173" t="str">
        <x:f>IF(A154="","",COUNTIF('Home Depot'!$C$8:$C$1007,A154) + COUNTIF('Lowes'!$C$8:$C$1007,A154) + COUNTIF('Amazon'!$C$8:$C$1007,A154) + COUNTIF('Misc Vendors'!$C$8:$C$1007,A154) + COUNTIF('Future Blank'!$C$8:$C$1007,A154))</x:f>
      </x:c>
    </x:row>
    <x:row r="155">
      <x:c r="A155" s="162" t="str">
        <x:f>IF('Setup Lists'!A139="","",'Setup Lists'!A139)</x:f>
      </x:c>
      <x:c r="B155" s="172" t="str">
        <x:f>IF(A155="","",SUMIF('Home Depot'!$C$8:$C$1007,A155,'Home Depot'!$H$8:$H$1007) + SUMIF('Lowes'!$C$8:$C$1007,A155,'Lowes'!$H$8:$H$1007) + SUMIF('Amazon'!$C$8:$C$1007,A155,'Amazon'!$H$8:$H$1007) + SUMIF('Misc Vendors'!$C$8:$C$1007,A155,'Misc Vendors'!$H$8:$H$1007) + SUMIF('Future Blank'!$C$8:$C$1007,A155,'Future Blank'!$H$8:$H$1007))</x:f>
      </x:c>
      <x:c r="C155" s="173" t="str">
        <x:f>IF(A155="","",COUNTIF('Home Depot'!$C$8:$C$1007,A155) + COUNTIF('Lowes'!$C$8:$C$1007,A155) + COUNTIF('Amazon'!$C$8:$C$1007,A155) + COUNTIF('Misc Vendors'!$C$8:$C$1007,A155) + COUNTIF('Future Blank'!$C$8:$C$1007,A155))</x:f>
      </x:c>
    </x:row>
    <x:row r="156">
      <x:c r="A156" s="162" t="str">
        <x:f>IF('Setup Lists'!A140="","",'Setup Lists'!A140)</x:f>
      </x:c>
      <x:c r="B156" s="172" t="str">
        <x:f>IF(A156="","",SUMIF('Home Depot'!$C$8:$C$1007,A156,'Home Depot'!$H$8:$H$1007) + SUMIF('Lowes'!$C$8:$C$1007,A156,'Lowes'!$H$8:$H$1007) + SUMIF('Amazon'!$C$8:$C$1007,A156,'Amazon'!$H$8:$H$1007) + SUMIF('Misc Vendors'!$C$8:$C$1007,A156,'Misc Vendors'!$H$8:$H$1007) + SUMIF('Future Blank'!$C$8:$C$1007,A156,'Future Blank'!$H$8:$H$1007))</x:f>
      </x:c>
      <x:c r="C156" s="173" t="str">
        <x:f>IF(A156="","",COUNTIF('Home Depot'!$C$8:$C$1007,A156) + COUNTIF('Lowes'!$C$8:$C$1007,A156) + COUNTIF('Amazon'!$C$8:$C$1007,A156) + COUNTIF('Misc Vendors'!$C$8:$C$1007,A156) + COUNTIF('Future Blank'!$C$8:$C$1007,A156))</x:f>
      </x:c>
    </x:row>
    <x:row r="157">
      <x:c r="A157" s="162" t="str">
        <x:f>IF('Setup Lists'!A141="","",'Setup Lists'!A141)</x:f>
      </x:c>
      <x:c r="B157" s="172" t="str">
        <x:f>IF(A157="","",SUMIF('Home Depot'!$C$8:$C$1007,A157,'Home Depot'!$H$8:$H$1007) + SUMIF('Lowes'!$C$8:$C$1007,A157,'Lowes'!$H$8:$H$1007) + SUMIF('Amazon'!$C$8:$C$1007,A157,'Amazon'!$H$8:$H$1007) + SUMIF('Misc Vendors'!$C$8:$C$1007,A157,'Misc Vendors'!$H$8:$H$1007) + SUMIF('Future Blank'!$C$8:$C$1007,A157,'Future Blank'!$H$8:$H$1007))</x:f>
      </x:c>
      <x:c r="C157" s="173" t="str">
        <x:f>IF(A157="","",COUNTIF('Home Depot'!$C$8:$C$1007,A157) + COUNTIF('Lowes'!$C$8:$C$1007,A157) + COUNTIF('Amazon'!$C$8:$C$1007,A157) + COUNTIF('Misc Vendors'!$C$8:$C$1007,A157) + COUNTIF('Future Blank'!$C$8:$C$1007,A157))</x:f>
      </x:c>
    </x:row>
    <x:row r="158">
      <x:c r="A158" s="162" t="str">
        <x:f>IF('Setup Lists'!A142="","",'Setup Lists'!A142)</x:f>
      </x:c>
      <x:c r="B158" s="172" t="str">
        <x:f>IF(A158="","",SUMIF('Home Depot'!$C$8:$C$1007,A158,'Home Depot'!$H$8:$H$1007) + SUMIF('Lowes'!$C$8:$C$1007,A158,'Lowes'!$H$8:$H$1007) + SUMIF('Amazon'!$C$8:$C$1007,A158,'Amazon'!$H$8:$H$1007) + SUMIF('Misc Vendors'!$C$8:$C$1007,A158,'Misc Vendors'!$H$8:$H$1007) + SUMIF('Future Blank'!$C$8:$C$1007,A158,'Future Blank'!$H$8:$H$1007))</x:f>
      </x:c>
      <x:c r="C158" s="173" t="str">
        <x:f>IF(A158="","",COUNTIF('Home Depot'!$C$8:$C$1007,A158) + COUNTIF('Lowes'!$C$8:$C$1007,A158) + COUNTIF('Amazon'!$C$8:$C$1007,A158) + COUNTIF('Misc Vendors'!$C$8:$C$1007,A158) + COUNTIF('Future Blank'!$C$8:$C$1007,A158))</x:f>
      </x:c>
    </x:row>
    <x:row r="159">
      <x:c r="A159" s="162" t="str">
        <x:f>IF('Setup Lists'!A143="","",'Setup Lists'!A143)</x:f>
      </x:c>
      <x:c r="B159" s="172" t="str">
        <x:f>IF(A159="","",SUMIF('Home Depot'!$C$8:$C$1007,A159,'Home Depot'!$H$8:$H$1007) + SUMIF('Lowes'!$C$8:$C$1007,A159,'Lowes'!$H$8:$H$1007) + SUMIF('Amazon'!$C$8:$C$1007,A159,'Amazon'!$H$8:$H$1007) + SUMIF('Misc Vendors'!$C$8:$C$1007,A159,'Misc Vendors'!$H$8:$H$1007) + SUMIF('Future Blank'!$C$8:$C$1007,A159,'Future Blank'!$H$8:$H$1007))</x:f>
      </x:c>
      <x:c r="C159" s="173" t="str">
        <x:f>IF(A159="","",COUNTIF('Home Depot'!$C$8:$C$1007,A159) + COUNTIF('Lowes'!$C$8:$C$1007,A159) + COUNTIF('Amazon'!$C$8:$C$1007,A159) + COUNTIF('Misc Vendors'!$C$8:$C$1007,A159) + COUNTIF('Future Blank'!$C$8:$C$1007,A159))</x:f>
      </x:c>
    </x:row>
    <x:row r="160">
      <x:c r="A160" s="162" t="str">
        <x:f>IF('Setup Lists'!A144="","",'Setup Lists'!A144)</x:f>
      </x:c>
      <x:c r="B160" s="172" t="str">
        <x:f>IF(A160="","",SUMIF('Home Depot'!$C$8:$C$1007,A160,'Home Depot'!$H$8:$H$1007) + SUMIF('Lowes'!$C$8:$C$1007,A160,'Lowes'!$H$8:$H$1007) + SUMIF('Amazon'!$C$8:$C$1007,A160,'Amazon'!$H$8:$H$1007) + SUMIF('Misc Vendors'!$C$8:$C$1007,A160,'Misc Vendors'!$H$8:$H$1007) + SUMIF('Future Blank'!$C$8:$C$1007,A160,'Future Blank'!$H$8:$H$1007))</x:f>
      </x:c>
      <x:c r="C160" s="173" t="str">
        <x:f>IF(A160="","",COUNTIF('Home Depot'!$C$8:$C$1007,A160) + COUNTIF('Lowes'!$C$8:$C$1007,A160) + COUNTIF('Amazon'!$C$8:$C$1007,A160) + COUNTIF('Misc Vendors'!$C$8:$C$1007,A160) + COUNTIF('Future Blank'!$C$8:$C$1007,A160))</x:f>
      </x:c>
    </x:row>
    <x:row r="161">
      <x:c r="A161" s="162" t="str">
        <x:f>IF('Setup Lists'!A145="","",'Setup Lists'!A145)</x:f>
      </x:c>
      <x:c r="B161" s="172" t="str">
        <x:f>IF(A161="","",SUMIF('Home Depot'!$C$8:$C$1007,A161,'Home Depot'!$H$8:$H$1007) + SUMIF('Lowes'!$C$8:$C$1007,A161,'Lowes'!$H$8:$H$1007) + SUMIF('Amazon'!$C$8:$C$1007,A161,'Amazon'!$H$8:$H$1007) + SUMIF('Misc Vendors'!$C$8:$C$1007,A161,'Misc Vendors'!$H$8:$H$1007) + SUMIF('Future Blank'!$C$8:$C$1007,A161,'Future Blank'!$H$8:$H$1007))</x:f>
      </x:c>
      <x:c r="C161" s="173" t="str">
        <x:f>IF(A161="","",COUNTIF('Home Depot'!$C$8:$C$1007,A161) + COUNTIF('Lowes'!$C$8:$C$1007,A161) + COUNTIF('Amazon'!$C$8:$C$1007,A161) + COUNTIF('Misc Vendors'!$C$8:$C$1007,A161) + COUNTIF('Future Blank'!$C$8:$C$1007,A161))</x:f>
      </x:c>
    </x:row>
    <x:row r="162">
      <x:c r="A162" s="162" t="str">
        <x:f>IF('Setup Lists'!A146="","",'Setup Lists'!A146)</x:f>
      </x:c>
      <x:c r="B162" s="172" t="str">
        <x:f>IF(A162="","",SUMIF('Home Depot'!$C$8:$C$1007,A162,'Home Depot'!$H$8:$H$1007) + SUMIF('Lowes'!$C$8:$C$1007,A162,'Lowes'!$H$8:$H$1007) + SUMIF('Amazon'!$C$8:$C$1007,A162,'Amazon'!$H$8:$H$1007) + SUMIF('Misc Vendors'!$C$8:$C$1007,A162,'Misc Vendors'!$H$8:$H$1007) + SUMIF('Future Blank'!$C$8:$C$1007,A162,'Future Blank'!$H$8:$H$1007))</x:f>
      </x:c>
      <x:c r="C162" s="173" t="str">
        <x:f>IF(A162="","",COUNTIF('Home Depot'!$C$8:$C$1007,A162) + COUNTIF('Lowes'!$C$8:$C$1007,A162) + COUNTIF('Amazon'!$C$8:$C$1007,A162) + COUNTIF('Misc Vendors'!$C$8:$C$1007,A162) + COUNTIF('Future Blank'!$C$8:$C$1007,A162))</x:f>
      </x:c>
    </x:row>
    <x:row r="163">
      <x:c r="A163" s="162" t="str">
        <x:f>IF('Setup Lists'!A147="","",'Setup Lists'!A147)</x:f>
      </x:c>
      <x:c r="B163" s="172" t="str">
        <x:f>IF(A163="","",SUMIF('Home Depot'!$C$8:$C$1007,A163,'Home Depot'!$H$8:$H$1007) + SUMIF('Lowes'!$C$8:$C$1007,A163,'Lowes'!$H$8:$H$1007) + SUMIF('Amazon'!$C$8:$C$1007,A163,'Amazon'!$H$8:$H$1007) + SUMIF('Misc Vendors'!$C$8:$C$1007,A163,'Misc Vendors'!$H$8:$H$1007) + SUMIF('Future Blank'!$C$8:$C$1007,A163,'Future Blank'!$H$8:$H$1007))</x:f>
      </x:c>
      <x:c r="C163" s="173" t="str">
        <x:f>IF(A163="","",COUNTIF('Home Depot'!$C$8:$C$1007,A163) + COUNTIF('Lowes'!$C$8:$C$1007,A163) + COUNTIF('Amazon'!$C$8:$C$1007,A163) + COUNTIF('Misc Vendors'!$C$8:$C$1007,A163) + COUNTIF('Future Blank'!$C$8:$C$1007,A163))</x:f>
      </x:c>
    </x:row>
    <x:row r="164">
      <x:c r="A164" s="162" t="str">
        <x:f>IF('Setup Lists'!A148="","",'Setup Lists'!A148)</x:f>
      </x:c>
      <x:c r="B164" s="172" t="str">
        <x:f>IF(A164="","",SUMIF('Home Depot'!$C$8:$C$1007,A164,'Home Depot'!$H$8:$H$1007) + SUMIF('Lowes'!$C$8:$C$1007,A164,'Lowes'!$H$8:$H$1007) + SUMIF('Amazon'!$C$8:$C$1007,A164,'Amazon'!$H$8:$H$1007) + SUMIF('Misc Vendors'!$C$8:$C$1007,A164,'Misc Vendors'!$H$8:$H$1007) + SUMIF('Future Blank'!$C$8:$C$1007,A164,'Future Blank'!$H$8:$H$1007))</x:f>
      </x:c>
      <x:c r="C164" s="173" t="str">
        <x:f>IF(A164="","",COUNTIF('Home Depot'!$C$8:$C$1007,A164) + COUNTIF('Lowes'!$C$8:$C$1007,A164) + COUNTIF('Amazon'!$C$8:$C$1007,A164) + COUNTIF('Misc Vendors'!$C$8:$C$1007,A164) + COUNTIF('Future Blank'!$C$8:$C$1007,A164))</x:f>
      </x:c>
    </x:row>
    <x:row r="165">
      <x:c r="A165" s="162" t="str">
        <x:f>IF('Setup Lists'!A149="","",'Setup Lists'!A149)</x:f>
      </x:c>
      <x:c r="B165" s="172" t="str">
        <x:f>IF(A165="","",SUMIF('Home Depot'!$C$8:$C$1007,A165,'Home Depot'!$H$8:$H$1007) + SUMIF('Lowes'!$C$8:$C$1007,A165,'Lowes'!$H$8:$H$1007) + SUMIF('Amazon'!$C$8:$C$1007,A165,'Amazon'!$H$8:$H$1007) + SUMIF('Misc Vendors'!$C$8:$C$1007,A165,'Misc Vendors'!$H$8:$H$1007) + SUMIF('Future Blank'!$C$8:$C$1007,A165,'Future Blank'!$H$8:$H$1007))</x:f>
      </x:c>
      <x:c r="C165" s="173" t="str">
        <x:f>IF(A165="","",COUNTIF('Home Depot'!$C$8:$C$1007,A165) + COUNTIF('Lowes'!$C$8:$C$1007,A165) + COUNTIF('Amazon'!$C$8:$C$1007,A165) + COUNTIF('Misc Vendors'!$C$8:$C$1007,A165) + COUNTIF('Future Blank'!$C$8:$C$1007,A165))</x:f>
      </x:c>
    </x:row>
    <x:row r="166">
      <x:c r="A166" s="162" t="str">
        <x:f>IF('Setup Lists'!A150="","",'Setup Lists'!A150)</x:f>
      </x:c>
      <x:c r="B166" s="172" t="str">
        <x:f>IF(A166="","",SUMIF('Home Depot'!$C$8:$C$1007,A166,'Home Depot'!$H$8:$H$1007) + SUMIF('Lowes'!$C$8:$C$1007,A166,'Lowes'!$H$8:$H$1007) + SUMIF('Amazon'!$C$8:$C$1007,A166,'Amazon'!$H$8:$H$1007) + SUMIF('Misc Vendors'!$C$8:$C$1007,A166,'Misc Vendors'!$H$8:$H$1007) + SUMIF('Future Blank'!$C$8:$C$1007,A166,'Future Blank'!$H$8:$H$1007))</x:f>
      </x:c>
      <x:c r="C166" s="173" t="str">
        <x:f>IF(A166="","",COUNTIF('Home Depot'!$C$8:$C$1007,A166) + COUNTIF('Lowes'!$C$8:$C$1007,A166) + COUNTIF('Amazon'!$C$8:$C$1007,A166) + COUNTIF('Misc Vendors'!$C$8:$C$1007,A166) + COUNTIF('Future Blank'!$C$8:$C$1007,A166))</x:f>
      </x:c>
    </x:row>
    <x:row r="167">
      <x:c r="A167" s="162" t="str">
        <x:f>IF('Setup Lists'!A151="","",'Setup Lists'!A151)</x:f>
      </x:c>
      <x:c r="B167" s="172" t="str">
        <x:f>IF(A167="","",SUMIF('Home Depot'!$C$8:$C$1007,A167,'Home Depot'!$H$8:$H$1007) + SUMIF('Lowes'!$C$8:$C$1007,A167,'Lowes'!$H$8:$H$1007) + SUMIF('Amazon'!$C$8:$C$1007,A167,'Amazon'!$H$8:$H$1007) + SUMIF('Misc Vendors'!$C$8:$C$1007,A167,'Misc Vendors'!$H$8:$H$1007) + SUMIF('Future Blank'!$C$8:$C$1007,A167,'Future Blank'!$H$8:$H$1007))</x:f>
      </x:c>
      <x:c r="C167" s="173" t="str">
        <x:f>IF(A167="","",COUNTIF('Home Depot'!$C$8:$C$1007,A167) + COUNTIF('Lowes'!$C$8:$C$1007,A167) + COUNTIF('Amazon'!$C$8:$C$1007,A167) + COUNTIF('Misc Vendors'!$C$8:$C$1007,A167) + COUNTIF('Future Blank'!$C$8:$C$1007,A167))</x:f>
      </x:c>
    </x:row>
    <x:row r="168">
      <x:c r="A168" s="162" t="str">
        <x:f>IF('Setup Lists'!A152="","",'Setup Lists'!A152)</x:f>
      </x:c>
      <x:c r="B168" s="172" t="str">
        <x:f>IF(A168="","",SUMIF('Home Depot'!$C$8:$C$1007,A168,'Home Depot'!$H$8:$H$1007) + SUMIF('Lowes'!$C$8:$C$1007,A168,'Lowes'!$H$8:$H$1007) + SUMIF('Amazon'!$C$8:$C$1007,A168,'Amazon'!$H$8:$H$1007) + SUMIF('Misc Vendors'!$C$8:$C$1007,A168,'Misc Vendors'!$H$8:$H$1007) + SUMIF('Future Blank'!$C$8:$C$1007,A168,'Future Blank'!$H$8:$H$1007))</x:f>
      </x:c>
      <x:c r="C168" s="173" t="str">
        <x:f>IF(A168="","",COUNTIF('Home Depot'!$C$8:$C$1007,A168) + COUNTIF('Lowes'!$C$8:$C$1007,A168) + COUNTIF('Amazon'!$C$8:$C$1007,A168) + COUNTIF('Misc Vendors'!$C$8:$C$1007,A168) + COUNTIF('Future Blank'!$C$8:$C$1007,A168))</x:f>
      </x:c>
    </x:row>
    <x:row r="169">
      <x:c r="A169" s="162" t="str">
        <x:f>IF('Setup Lists'!A153="","",'Setup Lists'!A153)</x:f>
      </x:c>
      <x:c r="B169" s="172" t="str">
        <x:f>IF(A169="","",SUMIF('Home Depot'!$C$8:$C$1007,A169,'Home Depot'!$H$8:$H$1007) + SUMIF('Lowes'!$C$8:$C$1007,A169,'Lowes'!$H$8:$H$1007) + SUMIF('Amazon'!$C$8:$C$1007,A169,'Amazon'!$H$8:$H$1007) + SUMIF('Misc Vendors'!$C$8:$C$1007,A169,'Misc Vendors'!$H$8:$H$1007) + SUMIF('Future Blank'!$C$8:$C$1007,A169,'Future Blank'!$H$8:$H$1007))</x:f>
      </x:c>
      <x:c r="C169" s="173" t="str">
        <x:f>IF(A169="","",COUNTIF('Home Depot'!$C$8:$C$1007,A169) + COUNTIF('Lowes'!$C$8:$C$1007,A169) + COUNTIF('Amazon'!$C$8:$C$1007,A169) + COUNTIF('Misc Vendors'!$C$8:$C$1007,A169) + COUNTIF('Future Blank'!$C$8:$C$1007,A169))</x:f>
      </x:c>
    </x:row>
    <x:row r="170">
      <x:c r="A170" s="162" t="str">
        <x:f>IF('Setup Lists'!A154="","",'Setup Lists'!A154)</x:f>
      </x:c>
      <x:c r="B170" s="172" t="str">
        <x:f>IF(A170="","",SUMIF('Home Depot'!$C$8:$C$1007,A170,'Home Depot'!$H$8:$H$1007) + SUMIF('Lowes'!$C$8:$C$1007,A170,'Lowes'!$H$8:$H$1007) + SUMIF('Amazon'!$C$8:$C$1007,A170,'Amazon'!$H$8:$H$1007) + SUMIF('Misc Vendors'!$C$8:$C$1007,A170,'Misc Vendors'!$H$8:$H$1007) + SUMIF('Future Blank'!$C$8:$C$1007,A170,'Future Blank'!$H$8:$H$1007))</x:f>
      </x:c>
      <x:c r="C170" s="173" t="str">
        <x:f>IF(A170="","",COUNTIF('Home Depot'!$C$8:$C$1007,A170) + COUNTIF('Lowes'!$C$8:$C$1007,A170) + COUNTIF('Amazon'!$C$8:$C$1007,A170) + COUNTIF('Misc Vendors'!$C$8:$C$1007,A170) + COUNTIF('Future Blank'!$C$8:$C$1007,A170))</x:f>
      </x:c>
    </x:row>
    <x:row r="171">
      <x:c r="A171" s="162" t="str">
        <x:f>IF('Setup Lists'!A155="","",'Setup Lists'!A155)</x:f>
      </x:c>
      <x:c r="B171" s="172" t="str">
        <x:f>IF(A171="","",SUMIF('Home Depot'!$C$8:$C$1007,A171,'Home Depot'!$H$8:$H$1007) + SUMIF('Lowes'!$C$8:$C$1007,A171,'Lowes'!$H$8:$H$1007) + SUMIF('Amazon'!$C$8:$C$1007,A171,'Amazon'!$H$8:$H$1007) + SUMIF('Misc Vendors'!$C$8:$C$1007,A171,'Misc Vendors'!$H$8:$H$1007) + SUMIF('Future Blank'!$C$8:$C$1007,A171,'Future Blank'!$H$8:$H$1007))</x:f>
      </x:c>
      <x:c r="C171" s="173" t="str">
        <x:f>IF(A171="","",COUNTIF('Home Depot'!$C$8:$C$1007,A171) + COUNTIF('Lowes'!$C$8:$C$1007,A171) + COUNTIF('Amazon'!$C$8:$C$1007,A171) + COUNTIF('Misc Vendors'!$C$8:$C$1007,A171) + COUNTIF('Future Blank'!$C$8:$C$1007,A171))</x:f>
      </x:c>
    </x:row>
    <x:row r="172">
      <x:c r="A172" s="162" t="str">
        <x:f>IF('Setup Lists'!A156="","",'Setup Lists'!A156)</x:f>
      </x:c>
      <x:c r="B172" s="172" t="str">
        <x:f>IF(A172="","",SUMIF('Home Depot'!$C$8:$C$1007,A172,'Home Depot'!$H$8:$H$1007) + SUMIF('Lowes'!$C$8:$C$1007,A172,'Lowes'!$H$8:$H$1007) + SUMIF('Amazon'!$C$8:$C$1007,A172,'Amazon'!$H$8:$H$1007) + SUMIF('Misc Vendors'!$C$8:$C$1007,A172,'Misc Vendors'!$H$8:$H$1007) + SUMIF('Future Blank'!$C$8:$C$1007,A172,'Future Blank'!$H$8:$H$1007))</x:f>
      </x:c>
      <x:c r="C172" s="173" t="str">
        <x:f>IF(A172="","",COUNTIF('Home Depot'!$C$8:$C$1007,A172) + COUNTIF('Lowes'!$C$8:$C$1007,A172) + COUNTIF('Amazon'!$C$8:$C$1007,A172) + COUNTIF('Misc Vendors'!$C$8:$C$1007,A172) + COUNTIF('Future Blank'!$C$8:$C$1007,A172))</x:f>
      </x:c>
    </x:row>
    <x:row r="173">
      <x:c r="A173" s="162" t="str">
        <x:f>IF('Setup Lists'!A157="","",'Setup Lists'!A157)</x:f>
      </x:c>
      <x:c r="B173" s="172" t="str">
        <x:f>IF(A173="","",SUMIF('Home Depot'!$C$8:$C$1007,A173,'Home Depot'!$H$8:$H$1007) + SUMIF('Lowes'!$C$8:$C$1007,A173,'Lowes'!$H$8:$H$1007) + SUMIF('Amazon'!$C$8:$C$1007,A173,'Amazon'!$H$8:$H$1007) + SUMIF('Misc Vendors'!$C$8:$C$1007,A173,'Misc Vendors'!$H$8:$H$1007) + SUMIF('Future Blank'!$C$8:$C$1007,A173,'Future Blank'!$H$8:$H$1007))</x:f>
      </x:c>
      <x:c r="C173" s="173" t="str">
        <x:f>IF(A173="","",COUNTIF('Home Depot'!$C$8:$C$1007,A173) + COUNTIF('Lowes'!$C$8:$C$1007,A173) + COUNTIF('Amazon'!$C$8:$C$1007,A173) + COUNTIF('Misc Vendors'!$C$8:$C$1007,A173) + COUNTIF('Future Blank'!$C$8:$C$1007,A173))</x:f>
      </x:c>
    </x:row>
    <x:row r="174">
      <x:c r="A174" s="162" t="str">
        <x:f>IF('Setup Lists'!A158="","",'Setup Lists'!A158)</x:f>
      </x:c>
      <x:c r="B174" s="172" t="str">
        <x:f>IF(A174="","",SUMIF('Home Depot'!$C$8:$C$1007,A174,'Home Depot'!$H$8:$H$1007) + SUMIF('Lowes'!$C$8:$C$1007,A174,'Lowes'!$H$8:$H$1007) + SUMIF('Amazon'!$C$8:$C$1007,A174,'Amazon'!$H$8:$H$1007) + SUMIF('Misc Vendors'!$C$8:$C$1007,A174,'Misc Vendors'!$H$8:$H$1007) + SUMIF('Future Blank'!$C$8:$C$1007,A174,'Future Blank'!$H$8:$H$1007))</x:f>
      </x:c>
      <x:c r="C174" s="173" t="str">
        <x:f>IF(A174="","",COUNTIF('Home Depot'!$C$8:$C$1007,A174) + COUNTIF('Lowes'!$C$8:$C$1007,A174) + COUNTIF('Amazon'!$C$8:$C$1007,A174) + COUNTIF('Misc Vendors'!$C$8:$C$1007,A174) + COUNTIF('Future Blank'!$C$8:$C$1007,A174))</x:f>
      </x:c>
    </x:row>
    <x:row r="175">
      <x:c r="A175" s="162" t="str">
        <x:f>IF('Setup Lists'!A159="","",'Setup Lists'!A159)</x:f>
      </x:c>
      <x:c r="B175" s="172" t="str">
        <x:f>IF(A175="","",SUMIF('Home Depot'!$C$8:$C$1007,A175,'Home Depot'!$H$8:$H$1007) + SUMIF('Lowes'!$C$8:$C$1007,A175,'Lowes'!$H$8:$H$1007) + SUMIF('Amazon'!$C$8:$C$1007,A175,'Amazon'!$H$8:$H$1007) + SUMIF('Misc Vendors'!$C$8:$C$1007,A175,'Misc Vendors'!$H$8:$H$1007) + SUMIF('Future Blank'!$C$8:$C$1007,A175,'Future Blank'!$H$8:$H$1007))</x:f>
      </x:c>
      <x:c r="C175" s="173" t="str">
        <x:f>IF(A175="","",COUNTIF('Home Depot'!$C$8:$C$1007,A175) + COUNTIF('Lowes'!$C$8:$C$1007,A175) + COUNTIF('Amazon'!$C$8:$C$1007,A175) + COUNTIF('Misc Vendors'!$C$8:$C$1007,A175) + COUNTIF('Future Blank'!$C$8:$C$1007,A175))</x:f>
      </x:c>
    </x:row>
    <x:row r="176">
      <x:c r="A176" s="162" t="str">
        <x:f>IF('Setup Lists'!A160="","",'Setup Lists'!A160)</x:f>
      </x:c>
      <x:c r="B176" s="172" t="str">
        <x:f>IF(A176="","",SUMIF('Home Depot'!$C$8:$C$1007,A176,'Home Depot'!$H$8:$H$1007) + SUMIF('Lowes'!$C$8:$C$1007,A176,'Lowes'!$H$8:$H$1007) + SUMIF('Amazon'!$C$8:$C$1007,A176,'Amazon'!$H$8:$H$1007) + SUMIF('Misc Vendors'!$C$8:$C$1007,A176,'Misc Vendors'!$H$8:$H$1007) + SUMIF('Future Blank'!$C$8:$C$1007,A176,'Future Blank'!$H$8:$H$1007))</x:f>
      </x:c>
      <x:c r="C176" s="173" t="str">
        <x:f>IF(A176="","",COUNTIF('Home Depot'!$C$8:$C$1007,A176) + COUNTIF('Lowes'!$C$8:$C$1007,A176) + COUNTIF('Amazon'!$C$8:$C$1007,A176) + COUNTIF('Misc Vendors'!$C$8:$C$1007,A176) + COUNTIF('Future Blank'!$C$8:$C$1007,A176))</x:f>
      </x:c>
    </x:row>
    <x:row r="177">
      <x:c r="A177" s="162" t="str">
        <x:f>IF('Setup Lists'!A161="","",'Setup Lists'!A161)</x:f>
      </x:c>
      <x:c r="B177" s="172" t="str">
        <x:f>IF(A177="","",SUMIF('Home Depot'!$C$8:$C$1007,A177,'Home Depot'!$H$8:$H$1007) + SUMIF('Lowes'!$C$8:$C$1007,A177,'Lowes'!$H$8:$H$1007) + SUMIF('Amazon'!$C$8:$C$1007,A177,'Amazon'!$H$8:$H$1007) + SUMIF('Misc Vendors'!$C$8:$C$1007,A177,'Misc Vendors'!$H$8:$H$1007) + SUMIF('Future Blank'!$C$8:$C$1007,A177,'Future Blank'!$H$8:$H$1007))</x:f>
      </x:c>
      <x:c r="C177" s="173" t="str">
        <x:f>IF(A177="","",COUNTIF('Home Depot'!$C$8:$C$1007,A177) + COUNTIF('Lowes'!$C$8:$C$1007,A177) + COUNTIF('Amazon'!$C$8:$C$1007,A177) + COUNTIF('Misc Vendors'!$C$8:$C$1007,A177) + COUNTIF('Future Blank'!$C$8:$C$1007,A177))</x:f>
      </x:c>
    </x:row>
    <x:row r="178">
      <x:c r="A178" s="162" t="str">
        <x:f>IF('Setup Lists'!A162="","",'Setup Lists'!A162)</x:f>
      </x:c>
      <x:c r="B178" s="172" t="str">
        <x:f>IF(A178="","",SUMIF('Home Depot'!$C$8:$C$1007,A178,'Home Depot'!$H$8:$H$1007) + SUMIF('Lowes'!$C$8:$C$1007,A178,'Lowes'!$H$8:$H$1007) + SUMIF('Amazon'!$C$8:$C$1007,A178,'Amazon'!$H$8:$H$1007) + SUMIF('Misc Vendors'!$C$8:$C$1007,A178,'Misc Vendors'!$H$8:$H$1007) + SUMIF('Future Blank'!$C$8:$C$1007,A178,'Future Blank'!$H$8:$H$1007))</x:f>
      </x:c>
      <x:c r="C178" s="173" t="str">
        <x:f>IF(A178="","",COUNTIF('Home Depot'!$C$8:$C$1007,A178) + COUNTIF('Lowes'!$C$8:$C$1007,A178) + COUNTIF('Amazon'!$C$8:$C$1007,A178) + COUNTIF('Misc Vendors'!$C$8:$C$1007,A178) + COUNTIF('Future Blank'!$C$8:$C$1007,A178))</x:f>
      </x:c>
    </x:row>
    <x:row r="179">
      <x:c r="A179" s="162" t="str">
        <x:f>IF('Setup Lists'!A163="","",'Setup Lists'!A163)</x:f>
      </x:c>
      <x:c r="B179" s="172" t="str">
        <x:f>IF(A179="","",SUMIF('Home Depot'!$C$8:$C$1007,A179,'Home Depot'!$H$8:$H$1007) + SUMIF('Lowes'!$C$8:$C$1007,A179,'Lowes'!$H$8:$H$1007) + SUMIF('Amazon'!$C$8:$C$1007,A179,'Amazon'!$H$8:$H$1007) + SUMIF('Misc Vendors'!$C$8:$C$1007,A179,'Misc Vendors'!$H$8:$H$1007) + SUMIF('Future Blank'!$C$8:$C$1007,A179,'Future Blank'!$H$8:$H$1007))</x:f>
      </x:c>
      <x:c r="C179" s="173" t="str">
        <x:f>IF(A179="","",COUNTIF('Home Depot'!$C$8:$C$1007,A179) + COUNTIF('Lowes'!$C$8:$C$1007,A179) + COUNTIF('Amazon'!$C$8:$C$1007,A179) + COUNTIF('Misc Vendors'!$C$8:$C$1007,A179) + COUNTIF('Future Blank'!$C$8:$C$1007,A179))</x:f>
      </x:c>
    </x:row>
    <x:row r="180">
      <x:c r="A180" s="162" t="str">
        <x:f>IF('Setup Lists'!A164="","",'Setup Lists'!A164)</x:f>
      </x:c>
      <x:c r="B180" s="172" t="str">
        <x:f>IF(A180="","",SUMIF('Home Depot'!$C$8:$C$1007,A180,'Home Depot'!$H$8:$H$1007) + SUMIF('Lowes'!$C$8:$C$1007,A180,'Lowes'!$H$8:$H$1007) + SUMIF('Amazon'!$C$8:$C$1007,A180,'Amazon'!$H$8:$H$1007) + SUMIF('Misc Vendors'!$C$8:$C$1007,A180,'Misc Vendors'!$H$8:$H$1007) + SUMIF('Future Blank'!$C$8:$C$1007,A180,'Future Blank'!$H$8:$H$1007))</x:f>
      </x:c>
      <x:c r="C180" s="173" t="str">
        <x:f>IF(A180="","",COUNTIF('Home Depot'!$C$8:$C$1007,A180) + COUNTIF('Lowes'!$C$8:$C$1007,A180) + COUNTIF('Amazon'!$C$8:$C$1007,A180) + COUNTIF('Misc Vendors'!$C$8:$C$1007,A180) + COUNTIF('Future Blank'!$C$8:$C$1007,A180))</x:f>
      </x:c>
    </x:row>
    <x:row r="181">
      <x:c r="A181" s="162" t="str">
        <x:f>IF('Setup Lists'!A165="","",'Setup Lists'!A165)</x:f>
      </x:c>
      <x:c r="B181" s="172" t="str">
        <x:f>IF(A181="","",SUMIF('Home Depot'!$C$8:$C$1007,A181,'Home Depot'!$H$8:$H$1007) + SUMIF('Lowes'!$C$8:$C$1007,A181,'Lowes'!$H$8:$H$1007) + SUMIF('Amazon'!$C$8:$C$1007,A181,'Amazon'!$H$8:$H$1007) + SUMIF('Misc Vendors'!$C$8:$C$1007,A181,'Misc Vendors'!$H$8:$H$1007) + SUMIF('Future Blank'!$C$8:$C$1007,A181,'Future Blank'!$H$8:$H$1007))</x:f>
      </x:c>
      <x:c r="C181" s="173" t="str">
        <x:f>IF(A181="","",COUNTIF('Home Depot'!$C$8:$C$1007,A181) + COUNTIF('Lowes'!$C$8:$C$1007,A181) + COUNTIF('Amazon'!$C$8:$C$1007,A181) + COUNTIF('Misc Vendors'!$C$8:$C$1007,A181) + COUNTIF('Future Blank'!$C$8:$C$1007,A181))</x:f>
      </x:c>
    </x:row>
    <x:row r="182">
      <x:c r="A182" s="162" t="str">
        <x:f>IF('Setup Lists'!A166="","",'Setup Lists'!A166)</x:f>
      </x:c>
      <x:c r="B182" s="172" t="str">
        <x:f>IF(A182="","",SUMIF('Home Depot'!$C$8:$C$1007,A182,'Home Depot'!$H$8:$H$1007) + SUMIF('Lowes'!$C$8:$C$1007,A182,'Lowes'!$H$8:$H$1007) + SUMIF('Amazon'!$C$8:$C$1007,A182,'Amazon'!$H$8:$H$1007) + SUMIF('Misc Vendors'!$C$8:$C$1007,A182,'Misc Vendors'!$H$8:$H$1007) + SUMIF('Future Blank'!$C$8:$C$1007,A182,'Future Blank'!$H$8:$H$1007))</x:f>
      </x:c>
      <x:c r="C182" s="173" t="str">
        <x:f>IF(A182="","",COUNTIF('Home Depot'!$C$8:$C$1007,A182) + COUNTIF('Lowes'!$C$8:$C$1007,A182) + COUNTIF('Amazon'!$C$8:$C$1007,A182) + COUNTIF('Misc Vendors'!$C$8:$C$1007,A182) + COUNTIF('Future Blank'!$C$8:$C$1007,A182))</x:f>
      </x:c>
    </x:row>
    <x:row r="183">
      <x:c r="A183" s="162" t="str">
        <x:f>IF('Setup Lists'!A167="","",'Setup Lists'!A167)</x:f>
      </x:c>
      <x:c r="B183" s="172" t="str">
        <x:f>IF(A183="","",SUMIF('Home Depot'!$C$8:$C$1007,A183,'Home Depot'!$H$8:$H$1007) + SUMIF('Lowes'!$C$8:$C$1007,A183,'Lowes'!$H$8:$H$1007) + SUMIF('Amazon'!$C$8:$C$1007,A183,'Amazon'!$H$8:$H$1007) + SUMIF('Misc Vendors'!$C$8:$C$1007,A183,'Misc Vendors'!$H$8:$H$1007) + SUMIF('Future Blank'!$C$8:$C$1007,A183,'Future Blank'!$H$8:$H$1007))</x:f>
      </x:c>
      <x:c r="C183" s="173" t="str">
        <x:f>IF(A183="","",COUNTIF('Home Depot'!$C$8:$C$1007,A183) + COUNTIF('Lowes'!$C$8:$C$1007,A183) + COUNTIF('Amazon'!$C$8:$C$1007,A183) + COUNTIF('Misc Vendors'!$C$8:$C$1007,A183) + COUNTIF('Future Blank'!$C$8:$C$1007,A183))</x:f>
      </x:c>
    </x:row>
    <x:row r="184">
      <x:c r="A184" s="162" t="str">
        <x:f>IF('Setup Lists'!A168="","",'Setup Lists'!A168)</x:f>
      </x:c>
      <x:c r="B184" s="172" t="str">
        <x:f>IF(A184="","",SUMIF('Home Depot'!$C$8:$C$1007,A184,'Home Depot'!$H$8:$H$1007) + SUMIF('Lowes'!$C$8:$C$1007,A184,'Lowes'!$H$8:$H$1007) + SUMIF('Amazon'!$C$8:$C$1007,A184,'Amazon'!$H$8:$H$1007) + SUMIF('Misc Vendors'!$C$8:$C$1007,A184,'Misc Vendors'!$H$8:$H$1007) + SUMIF('Future Blank'!$C$8:$C$1007,A184,'Future Blank'!$H$8:$H$1007))</x:f>
      </x:c>
      <x:c r="C184" s="173" t="str">
        <x:f>IF(A184="","",COUNTIF('Home Depot'!$C$8:$C$1007,A184) + COUNTIF('Lowes'!$C$8:$C$1007,A184) + COUNTIF('Amazon'!$C$8:$C$1007,A184) + COUNTIF('Misc Vendors'!$C$8:$C$1007,A184) + COUNTIF('Future Blank'!$C$8:$C$1007,A184))</x:f>
      </x:c>
    </x:row>
    <x:row r="185">
      <x:c r="A185" s="162" t="str">
        <x:f>IF('Setup Lists'!A169="","",'Setup Lists'!A169)</x:f>
      </x:c>
      <x:c r="B185" s="172" t="str">
        <x:f>IF(A185="","",SUMIF('Home Depot'!$C$8:$C$1007,A185,'Home Depot'!$H$8:$H$1007) + SUMIF('Lowes'!$C$8:$C$1007,A185,'Lowes'!$H$8:$H$1007) + SUMIF('Amazon'!$C$8:$C$1007,A185,'Amazon'!$H$8:$H$1007) + SUMIF('Misc Vendors'!$C$8:$C$1007,A185,'Misc Vendors'!$H$8:$H$1007) + SUMIF('Future Blank'!$C$8:$C$1007,A185,'Future Blank'!$H$8:$H$1007))</x:f>
      </x:c>
      <x:c r="C185" s="173" t="str">
        <x:f>IF(A185="","",COUNTIF('Home Depot'!$C$8:$C$1007,A185) + COUNTIF('Lowes'!$C$8:$C$1007,A185) + COUNTIF('Amazon'!$C$8:$C$1007,A185) + COUNTIF('Misc Vendors'!$C$8:$C$1007,A185) + COUNTIF('Future Blank'!$C$8:$C$1007,A185))</x:f>
      </x:c>
    </x:row>
    <x:row r="186">
      <x:c r="A186" s="162" t="str">
        <x:f>IF('Setup Lists'!A170="","",'Setup Lists'!A170)</x:f>
      </x:c>
      <x:c r="B186" s="172" t="str">
        <x:f>IF(A186="","",SUMIF('Home Depot'!$C$8:$C$1007,A186,'Home Depot'!$H$8:$H$1007) + SUMIF('Lowes'!$C$8:$C$1007,A186,'Lowes'!$H$8:$H$1007) + SUMIF('Amazon'!$C$8:$C$1007,A186,'Amazon'!$H$8:$H$1007) + SUMIF('Misc Vendors'!$C$8:$C$1007,A186,'Misc Vendors'!$H$8:$H$1007) + SUMIF('Future Blank'!$C$8:$C$1007,A186,'Future Blank'!$H$8:$H$1007))</x:f>
      </x:c>
      <x:c r="C186" s="173" t="str">
        <x:f>IF(A186="","",COUNTIF('Home Depot'!$C$8:$C$1007,A186) + COUNTIF('Lowes'!$C$8:$C$1007,A186) + COUNTIF('Amazon'!$C$8:$C$1007,A186) + COUNTIF('Misc Vendors'!$C$8:$C$1007,A186) + COUNTIF('Future Blank'!$C$8:$C$1007,A186))</x:f>
      </x:c>
    </x:row>
    <x:row r="187">
      <x:c r="A187" s="162" t="str">
        <x:f>IF('Setup Lists'!A171="","",'Setup Lists'!A171)</x:f>
      </x:c>
      <x:c r="B187" s="172" t="str">
        <x:f>IF(A187="","",SUMIF('Home Depot'!$C$8:$C$1007,A187,'Home Depot'!$H$8:$H$1007) + SUMIF('Lowes'!$C$8:$C$1007,A187,'Lowes'!$H$8:$H$1007) + SUMIF('Amazon'!$C$8:$C$1007,A187,'Amazon'!$H$8:$H$1007) + SUMIF('Misc Vendors'!$C$8:$C$1007,A187,'Misc Vendors'!$H$8:$H$1007) + SUMIF('Future Blank'!$C$8:$C$1007,A187,'Future Blank'!$H$8:$H$1007))</x:f>
      </x:c>
      <x:c r="C187" s="173" t="str">
        <x:f>IF(A187="","",COUNTIF('Home Depot'!$C$8:$C$1007,A187) + COUNTIF('Lowes'!$C$8:$C$1007,A187) + COUNTIF('Amazon'!$C$8:$C$1007,A187) + COUNTIF('Misc Vendors'!$C$8:$C$1007,A187) + COUNTIF('Future Blank'!$C$8:$C$1007,A187))</x:f>
      </x:c>
    </x:row>
    <x:row r="188">
      <x:c r="A188" s="162" t="str">
        <x:f>IF('Setup Lists'!A172="","",'Setup Lists'!A172)</x:f>
      </x:c>
      <x:c r="B188" s="172" t="str">
        <x:f>IF(A188="","",SUMIF('Home Depot'!$C$8:$C$1007,A188,'Home Depot'!$H$8:$H$1007) + SUMIF('Lowes'!$C$8:$C$1007,A188,'Lowes'!$H$8:$H$1007) + SUMIF('Amazon'!$C$8:$C$1007,A188,'Amazon'!$H$8:$H$1007) + SUMIF('Misc Vendors'!$C$8:$C$1007,A188,'Misc Vendors'!$H$8:$H$1007) + SUMIF('Future Blank'!$C$8:$C$1007,A188,'Future Blank'!$H$8:$H$1007))</x:f>
      </x:c>
      <x:c r="C188" s="173" t="str">
        <x:f>IF(A188="","",COUNTIF('Home Depot'!$C$8:$C$1007,A188) + COUNTIF('Lowes'!$C$8:$C$1007,A188) + COUNTIF('Amazon'!$C$8:$C$1007,A188) + COUNTIF('Misc Vendors'!$C$8:$C$1007,A188) + COUNTIF('Future Blank'!$C$8:$C$1007,A188))</x:f>
      </x:c>
    </x:row>
    <x:row r="189">
      <x:c r="A189" s="162" t="str">
        <x:f>IF('Setup Lists'!A173="","",'Setup Lists'!A173)</x:f>
      </x:c>
      <x:c r="B189" s="172" t="str">
        <x:f>IF(A189="","",SUMIF('Home Depot'!$C$8:$C$1007,A189,'Home Depot'!$H$8:$H$1007) + SUMIF('Lowes'!$C$8:$C$1007,A189,'Lowes'!$H$8:$H$1007) + SUMIF('Amazon'!$C$8:$C$1007,A189,'Amazon'!$H$8:$H$1007) + SUMIF('Misc Vendors'!$C$8:$C$1007,A189,'Misc Vendors'!$H$8:$H$1007) + SUMIF('Future Blank'!$C$8:$C$1007,A189,'Future Blank'!$H$8:$H$1007))</x:f>
      </x:c>
      <x:c r="C189" s="173" t="str">
        <x:f>IF(A189="","",COUNTIF('Home Depot'!$C$8:$C$1007,A189) + COUNTIF('Lowes'!$C$8:$C$1007,A189) + COUNTIF('Amazon'!$C$8:$C$1007,A189) + COUNTIF('Misc Vendors'!$C$8:$C$1007,A189) + COUNTIF('Future Blank'!$C$8:$C$1007,A189))</x:f>
      </x:c>
    </x:row>
    <x:row r="190">
      <x:c r="A190" s="162" t="str">
        <x:f>IF('Setup Lists'!A174="","",'Setup Lists'!A174)</x:f>
      </x:c>
      <x:c r="B190" s="172" t="str">
        <x:f>IF(A190="","",SUMIF('Home Depot'!$C$8:$C$1007,A190,'Home Depot'!$H$8:$H$1007) + SUMIF('Lowes'!$C$8:$C$1007,A190,'Lowes'!$H$8:$H$1007) + SUMIF('Amazon'!$C$8:$C$1007,A190,'Amazon'!$H$8:$H$1007) + SUMIF('Misc Vendors'!$C$8:$C$1007,A190,'Misc Vendors'!$H$8:$H$1007) + SUMIF('Future Blank'!$C$8:$C$1007,A190,'Future Blank'!$H$8:$H$1007))</x:f>
      </x:c>
      <x:c r="C190" s="173" t="str">
        <x:f>IF(A190="","",COUNTIF('Home Depot'!$C$8:$C$1007,A190) + COUNTIF('Lowes'!$C$8:$C$1007,A190) + COUNTIF('Amazon'!$C$8:$C$1007,A190) + COUNTIF('Misc Vendors'!$C$8:$C$1007,A190) + COUNTIF('Future Blank'!$C$8:$C$1007,A190))</x:f>
      </x:c>
    </x:row>
    <x:row r="191">
      <x:c r="A191" s="162" t="str">
        <x:f>IF('Setup Lists'!A175="","",'Setup Lists'!A175)</x:f>
      </x:c>
      <x:c r="B191" s="172" t="str">
        <x:f>IF(A191="","",SUMIF('Home Depot'!$C$8:$C$1007,A191,'Home Depot'!$H$8:$H$1007) + SUMIF('Lowes'!$C$8:$C$1007,A191,'Lowes'!$H$8:$H$1007) + SUMIF('Amazon'!$C$8:$C$1007,A191,'Amazon'!$H$8:$H$1007) + SUMIF('Misc Vendors'!$C$8:$C$1007,A191,'Misc Vendors'!$H$8:$H$1007) + SUMIF('Future Blank'!$C$8:$C$1007,A191,'Future Blank'!$H$8:$H$1007))</x:f>
      </x:c>
      <x:c r="C191" s="173" t="str">
        <x:f>IF(A191="","",COUNTIF('Home Depot'!$C$8:$C$1007,A191) + COUNTIF('Lowes'!$C$8:$C$1007,A191) + COUNTIF('Amazon'!$C$8:$C$1007,A191) + COUNTIF('Misc Vendors'!$C$8:$C$1007,A191) + COUNTIF('Future Blank'!$C$8:$C$1007,A191))</x:f>
      </x:c>
    </x:row>
    <x:row r="192">
      <x:c r="A192" s="162" t="str">
        <x:f>IF('Setup Lists'!A176="","",'Setup Lists'!A176)</x:f>
      </x:c>
      <x:c r="B192" s="172" t="str">
        <x:f>IF(A192="","",SUMIF('Home Depot'!$C$8:$C$1007,A192,'Home Depot'!$H$8:$H$1007) + SUMIF('Lowes'!$C$8:$C$1007,A192,'Lowes'!$H$8:$H$1007) + SUMIF('Amazon'!$C$8:$C$1007,A192,'Amazon'!$H$8:$H$1007) + SUMIF('Misc Vendors'!$C$8:$C$1007,A192,'Misc Vendors'!$H$8:$H$1007) + SUMIF('Future Blank'!$C$8:$C$1007,A192,'Future Blank'!$H$8:$H$1007))</x:f>
      </x:c>
      <x:c r="C192" s="173" t="str">
        <x:f>IF(A192="","",COUNTIF('Home Depot'!$C$8:$C$1007,A192) + COUNTIF('Lowes'!$C$8:$C$1007,A192) + COUNTIF('Amazon'!$C$8:$C$1007,A192) + COUNTIF('Misc Vendors'!$C$8:$C$1007,A192) + COUNTIF('Future Blank'!$C$8:$C$1007,A192))</x:f>
      </x:c>
    </x:row>
    <x:row r="193">
      <x:c r="A193" s="162" t="str">
        <x:f>IF('Setup Lists'!A177="","",'Setup Lists'!A177)</x:f>
      </x:c>
      <x:c r="B193" s="172" t="str">
        <x:f>IF(A193="","",SUMIF('Home Depot'!$C$8:$C$1007,A193,'Home Depot'!$H$8:$H$1007) + SUMIF('Lowes'!$C$8:$C$1007,A193,'Lowes'!$H$8:$H$1007) + SUMIF('Amazon'!$C$8:$C$1007,A193,'Amazon'!$H$8:$H$1007) + SUMIF('Misc Vendors'!$C$8:$C$1007,A193,'Misc Vendors'!$H$8:$H$1007) + SUMIF('Future Blank'!$C$8:$C$1007,A193,'Future Blank'!$H$8:$H$1007))</x:f>
      </x:c>
      <x:c r="C193" s="173" t="str">
        <x:f>IF(A193="","",COUNTIF('Home Depot'!$C$8:$C$1007,A193) + COUNTIF('Lowes'!$C$8:$C$1007,A193) + COUNTIF('Amazon'!$C$8:$C$1007,A193) + COUNTIF('Misc Vendors'!$C$8:$C$1007,A193) + COUNTIF('Future Blank'!$C$8:$C$1007,A193))</x:f>
      </x:c>
    </x:row>
    <x:row r="194">
      <x:c r="A194" s="162" t="str">
        <x:f>IF('Setup Lists'!A178="","",'Setup Lists'!A178)</x:f>
      </x:c>
      <x:c r="B194" s="172" t="str">
        <x:f>IF(A194="","",SUMIF('Home Depot'!$C$8:$C$1007,A194,'Home Depot'!$H$8:$H$1007) + SUMIF('Lowes'!$C$8:$C$1007,A194,'Lowes'!$H$8:$H$1007) + SUMIF('Amazon'!$C$8:$C$1007,A194,'Amazon'!$H$8:$H$1007) + SUMIF('Misc Vendors'!$C$8:$C$1007,A194,'Misc Vendors'!$H$8:$H$1007) + SUMIF('Future Blank'!$C$8:$C$1007,A194,'Future Blank'!$H$8:$H$1007))</x:f>
      </x:c>
      <x:c r="C194" s="173" t="str">
        <x:f>IF(A194="","",COUNTIF('Home Depot'!$C$8:$C$1007,A194) + COUNTIF('Lowes'!$C$8:$C$1007,A194) + COUNTIF('Amazon'!$C$8:$C$1007,A194) + COUNTIF('Misc Vendors'!$C$8:$C$1007,A194) + COUNTIF('Future Blank'!$C$8:$C$1007,A194))</x:f>
      </x:c>
    </x:row>
    <x:row r="195">
      <x:c r="A195" s="162" t="str">
        <x:f>IF('Setup Lists'!A179="","",'Setup Lists'!A179)</x:f>
      </x:c>
      <x:c r="B195" s="172" t="str">
        <x:f>IF(A195="","",SUMIF('Home Depot'!$C$8:$C$1007,A195,'Home Depot'!$H$8:$H$1007) + SUMIF('Lowes'!$C$8:$C$1007,A195,'Lowes'!$H$8:$H$1007) + SUMIF('Amazon'!$C$8:$C$1007,A195,'Amazon'!$H$8:$H$1007) + SUMIF('Misc Vendors'!$C$8:$C$1007,A195,'Misc Vendors'!$H$8:$H$1007) + SUMIF('Future Blank'!$C$8:$C$1007,A195,'Future Blank'!$H$8:$H$1007))</x:f>
      </x:c>
      <x:c r="C195" s="173" t="str">
        <x:f>IF(A195="","",COUNTIF('Home Depot'!$C$8:$C$1007,A195) + COUNTIF('Lowes'!$C$8:$C$1007,A195) + COUNTIF('Amazon'!$C$8:$C$1007,A195) + COUNTIF('Misc Vendors'!$C$8:$C$1007,A195) + COUNTIF('Future Blank'!$C$8:$C$1007,A195))</x:f>
      </x:c>
    </x:row>
    <x:row r="196">
      <x:c r="A196" s="162" t="str">
        <x:f>IF('Setup Lists'!A180="","",'Setup Lists'!A180)</x:f>
      </x:c>
      <x:c r="B196" s="172" t="str">
        <x:f>IF(A196="","",SUMIF('Home Depot'!$C$8:$C$1007,A196,'Home Depot'!$H$8:$H$1007) + SUMIF('Lowes'!$C$8:$C$1007,A196,'Lowes'!$H$8:$H$1007) + SUMIF('Amazon'!$C$8:$C$1007,A196,'Amazon'!$H$8:$H$1007) + SUMIF('Misc Vendors'!$C$8:$C$1007,A196,'Misc Vendors'!$H$8:$H$1007) + SUMIF('Future Blank'!$C$8:$C$1007,A196,'Future Blank'!$H$8:$H$1007))</x:f>
      </x:c>
      <x:c r="C196" s="173" t="str">
        <x:f>IF(A196="","",COUNTIF('Home Depot'!$C$8:$C$1007,A196) + COUNTIF('Lowes'!$C$8:$C$1007,A196) + COUNTIF('Amazon'!$C$8:$C$1007,A196) + COUNTIF('Misc Vendors'!$C$8:$C$1007,A196) + COUNTIF('Future Blank'!$C$8:$C$1007,A196))</x:f>
      </x:c>
    </x:row>
    <x:row r="197">
      <x:c r="A197" s="162" t="str">
        <x:f>IF('Setup Lists'!A181="","",'Setup Lists'!A181)</x:f>
      </x:c>
      <x:c r="B197" s="172" t="str">
        <x:f>IF(A197="","",SUMIF('Home Depot'!$C$8:$C$1007,A197,'Home Depot'!$H$8:$H$1007) + SUMIF('Lowes'!$C$8:$C$1007,A197,'Lowes'!$H$8:$H$1007) + SUMIF('Amazon'!$C$8:$C$1007,A197,'Amazon'!$H$8:$H$1007) + SUMIF('Misc Vendors'!$C$8:$C$1007,A197,'Misc Vendors'!$H$8:$H$1007) + SUMIF('Future Blank'!$C$8:$C$1007,A197,'Future Blank'!$H$8:$H$1007))</x:f>
      </x:c>
      <x:c r="C197" s="173" t="str">
        <x:f>IF(A197="","",COUNTIF('Home Depot'!$C$8:$C$1007,A197) + COUNTIF('Lowes'!$C$8:$C$1007,A197) + COUNTIF('Amazon'!$C$8:$C$1007,A197) + COUNTIF('Misc Vendors'!$C$8:$C$1007,A197) + COUNTIF('Future Blank'!$C$8:$C$1007,A197))</x:f>
      </x:c>
    </x:row>
    <x:row r="198">
      <x:c r="A198" s="162" t="str">
        <x:f>IF('Setup Lists'!A182="","",'Setup Lists'!A182)</x:f>
      </x:c>
      <x:c r="B198" s="172" t="str">
        <x:f>IF(A198="","",SUMIF('Home Depot'!$C$8:$C$1007,A198,'Home Depot'!$H$8:$H$1007) + SUMIF('Lowes'!$C$8:$C$1007,A198,'Lowes'!$H$8:$H$1007) + SUMIF('Amazon'!$C$8:$C$1007,A198,'Amazon'!$H$8:$H$1007) + SUMIF('Misc Vendors'!$C$8:$C$1007,A198,'Misc Vendors'!$H$8:$H$1007) + SUMIF('Future Blank'!$C$8:$C$1007,A198,'Future Blank'!$H$8:$H$1007))</x:f>
      </x:c>
      <x:c r="C198" s="173" t="str">
        <x:f>IF(A198="","",COUNTIF('Home Depot'!$C$8:$C$1007,A198) + COUNTIF('Lowes'!$C$8:$C$1007,A198) + COUNTIF('Amazon'!$C$8:$C$1007,A198) + COUNTIF('Misc Vendors'!$C$8:$C$1007,A198) + COUNTIF('Future Blank'!$C$8:$C$1007,A198))</x:f>
      </x:c>
    </x:row>
    <x:row r="199">
      <x:c r="A199" s="162" t="str">
        <x:f>IF('Setup Lists'!A183="","",'Setup Lists'!A183)</x:f>
      </x:c>
      <x:c r="B199" s="172" t="str">
        <x:f>IF(A199="","",SUMIF('Home Depot'!$C$8:$C$1007,A199,'Home Depot'!$H$8:$H$1007) + SUMIF('Lowes'!$C$8:$C$1007,A199,'Lowes'!$H$8:$H$1007) + SUMIF('Amazon'!$C$8:$C$1007,A199,'Amazon'!$H$8:$H$1007) + SUMIF('Misc Vendors'!$C$8:$C$1007,A199,'Misc Vendors'!$H$8:$H$1007) + SUMIF('Future Blank'!$C$8:$C$1007,A199,'Future Blank'!$H$8:$H$1007))</x:f>
      </x:c>
      <x:c r="C199" s="173" t="str">
        <x:f>IF(A199="","",COUNTIF('Home Depot'!$C$8:$C$1007,A199) + COUNTIF('Lowes'!$C$8:$C$1007,A199) + COUNTIF('Amazon'!$C$8:$C$1007,A199) + COUNTIF('Misc Vendors'!$C$8:$C$1007,A199) + COUNTIF('Future Blank'!$C$8:$C$1007,A199))</x:f>
      </x:c>
    </x:row>
    <x:row r="200">
      <x:c r="A200" s="162" t="str">
        <x:f>IF('Setup Lists'!A184="","",'Setup Lists'!A184)</x:f>
      </x:c>
      <x:c r="B200" s="172" t="str">
        <x:f>IF(A200="","",SUMIF('Home Depot'!$C$8:$C$1007,A200,'Home Depot'!$H$8:$H$1007) + SUMIF('Lowes'!$C$8:$C$1007,A200,'Lowes'!$H$8:$H$1007) + SUMIF('Amazon'!$C$8:$C$1007,A200,'Amazon'!$H$8:$H$1007) + SUMIF('Misc Vendors'!$C$8:$C$1007,A200,'Misc Vendors'!$H$8:$H$1007) + SUMIF('Future Blank'!$C$8:$C$1007,A200,'Future Blank'!$H$8:$H$1007))</x:f>
      </x:c>
      <x:c r="C200" s="173" t="str">
        <x:f>IF(A200="","",COUNTIF('Home Depot'!$C$8:$C$1007,A200) + COUNTIF('Lowes'!$C$8:$C$1007,A200) + COUNTIF('Amazon'!$C$8:$C$1007,A200) + COUNTIF('Misc Vendors'!$C$8:$C$1007,A200) + COUNTIF('Future Blank'!$C$8:$C$1007,A200))</x:f>
      </x:c>
    </x:row>
    <x:row r="201">
      <x:c r="A201" s="162" t="str">
        <x:f>IF('Setup Lists'!A185="","",'Setup Lists'!A185)</x:f>
      </x:c>
      <x:c r="B201" s="172" t="str">
        <x:f>IF(A201="","",SUMIF('Home Depot'!$C$8:$C$1007,A201,'Home Depot'!$H$8:$H$1007) + SUMIF('Lowes'!$C$8:$C$1007,A201,'Lowes'!$H$8:$H$1007) + SUMIF('Amazon'!$C$8:$C$1007,A201,'Amazon'!$H$8:$H$1007) + SUMIF('Misc Vendors'!$C$8:$C$1007,A201,'Misc Vendors'!$H$8:$H$1007) + SUMIF('Future Blank'!$C$8:$C$1007,A201,'Future Blank'!$H$8:$H$1007))</x:f>
      </x:c>
      <x:c r="C201" s="173" t="str">
        <x:f>IF(A201="","",COUNTIF('Home Depot'!$C$8:$C$1007,A201) + COUNTIF('Lowes'!$C$8:$C$1007,A201) + COUNTIF('Amazon'!$C$8:$C$1007,A201) + COUNTIF('Misc Vendors'!$C$8:$C$1007,A201) + COUNTIF('Future Blank'!$C$8:$C$1007,A201))</x:f>
      </x:c>
    </x:row>
    <x:row r="202">
      <x:c r="A202" s="162" t="str">
        <x:f>IF('Setup Lists'!A186="","",'Setup Lists'!A186)</x:f>
      </x:c>
      <x:c r="B202" s="172" t="str">
        <x:f>IF(A202="","",SUMIF('Home Depot'!$C$8:$C$1007,A202,'Home Depot'!$H$8:$H$1007) + SUMIF('Lowes'!$C$8:$C$1007,A202,'Lowes'!$H$8:$H$1007) + SUMIF('Amazon'!$C$8:$C$1007,A202,'Amazon'!$H$8:$H$1007) + SUMIF('Misc Vendors'!$C$8:$C$1007,A202,'Misc Vendors'!$H$8:$H$1007) + SUMIF('Future Blank'!$C$8:$C$1007,A202,'Future Blank'!$H$8:$H$1007))</x:f>
      </x:c>
      <x:c r="C202" s="173" t="str">
        <x:f>IF(A202="","",COUNTIF('Home Depot'!$C$8:$C$1007,A202) + COUNTIF('Lowes'!$C$8:$C$1007,A202) + COUNTIF('Amazon'!$C$8:$C$1007,A202) + COUNTIF('Misc Vendors'!$C$8:$C$1007,A202) + COUNTIF('Future Blank'!$C$8:$C$1007,A202))</x:f>
      </x:c>
    </x:row>
    <x:row r="203">
      <x:c r="A203" s="162" t="str">
        <x:f>IF('Setup Lists'!A187="","",'Setup Lists'!A187)</x:f>
      </x:c>
      <x:c r="B203" s="172" t="str">
        <x:f>IF(A203="","",SUMIF('Home Depot'!$C$8:$C$1007,A203,'Home Depot'!$H$8:$H$1007) + SUMIF('Lowes'!$C$8:$C$1007,A203,'Lowes'!$H$8:$H$1007) + SUMIF('Amazon'!$C$8:$C$1007,A203,'Amazon'!$H$8:$H$1007) + SUMIF('Misc Vendors'!$C$8:$C$1007,A203,'Misc Vendors'!$H$8:$H$1007) + SUMIF('Future Blank'!$C$8:$C$1007,A203,'Future Blank'!$H$8:$H$1007))</x:f>
      </x:c>
      <x:c r="C203" s="173" t="str">
        <x:f>IF(A203="","",COUNTIF('Home Depot'!$C$8:$C$1007,A203) + COUNTIF('Lowes'!$C$8:$C$1007,A203) + COUNTIF('Amazon'!$C$8:$C$1007,A203) + COUNTIF('Misc Vendors'!$C$8:$C$1007,A203) + COUNTIF('Future Blank'!$C$8:$C$1007,A203))</x:f>
      </x:c>
    </x:row>
    <x:row r="204">
      <x:c r="A204" s="162" t="str">
        <x:f>IF('Setup Lists'!A188="","",'Setup Lists'!A188)</x:f>
      </x:c>
      <x:c r="B204" s="172" t="str">
        <x:f>IF(A204="","",SUMIF('Home Depot'!$C$8:$C$1007,A204,'Home Depot'!$H$8:$H$1007) + SUMIF('Lowes'!$C$8:$C$1007,A204,'Lowes'!$H$8:$H$1007) + SUMIF('Amazon'!$C$8:$C$1007,A204,'Amazon'!$H$8:$H$1007) + SUMIF('Misc Vendors'!$C$8:$C$1007,A204,'Misc Vendors'!$H$8:$H$1007) + SUMIF('Future Blank'!$C$8:$C$1007,A204,'Future Blank'!$H$8:$H$1007))</x:f>
      </x:c>
      <x:c r="C204" s="173" t="str">
        <x:f>IF(A204="","",COUNTIF('Home Depot'!$C$8:$C$1007,A204) + COUNTIF('Lowes'!$C$8:$C$1007,A204) + COUNTIF('Amazon'!$C$8:$C$1007,A204) + COUNTIF('Misc Vendors'!$C$8:$C$1007,A204) + COUNTIF('Future Blank'!$C$8:$C$1007,A204))</x:f>
      </x:c>
    </x:row>
    <x:row r="205">
      <x:c r="A205" s="162" t="str">
        <x:f>IF('Setup Lists'!A189="","",'Setup Lists'!A189)</x:f>
      </x:c>
      <x:c r="B205" s="172" t="str">
        <x:f>IF(A205="","",SUMIF('Home Depot'!$C$8:$C$1007,A205,'Home Depot'!$H$8:$H$1007) + SUMIF('Lowes'!$C$8:$C$1007,A205,'Lowes'!$H$8:$H$1007) + SUMIF('Amazon'!$C$8:$C$1007,A205,'Amazon'!$H$8:$H$1007) + SUMIF('Misc Vendors'!$C$8:$C$1007,A205,'Misc Vendors'!$H$8:$H$1007) + SUMIF('Future Blank'!$C$8:$C$1007,A205,'Future Blank'!$H$8:$H$1007))</x:f>
      </x:c>
      <x:c r="C205" s="173" t="str">
        <x:f>IF(A205="","",COUNTIF('Home Depot'!$C$8:$C$1007,A205) + COUNTIF('Lowes'!$C$8:$C$1007,A205) + COUNTIF('Amazon'!$C$8:$C$1007,A205) + COUNTIF('Misc Vendors'!$C$8:$C$1007,A205) + COUNTIF('Future Blank'!$C$8:$C$1007,A205))</x:f>
      </x:c>
    </x:row>
    <x:row r="206">
      <x:c r="A206" s="162" t="str">
        <x:f>IF('Setup Lists'!A190="","",'Setup Lists'!A190)</x:f>
      </x:c>
      <x:c r="B206" s="172" t="str">
        <x:f>IF(A206="","",SUMIF('Home Depot'!$C$8:$C$1007,A206,'Home Depot'!$H$8:$H$1007) + SUMIF('Lowes'!$C$8:$C$1007,A206,'Lowes'!$H$8:$H$1007) + SUMIF('Amazon'!$C$8:$C$1007,A206,'Amazon'!$H$8:$H$1007) + SUMIF('Misc Vendors'!$C$8:$C$1007,A206,'Misc Vendors'!$H$8:$H$1007) + SUMIF('Future Blank'!$C$8:$C$1007,A206,'Future Blank'!$H$8:$H$1007))</x:f>
      </x:c>
      <x:c r="C206" s="173" t="str">
        <x:f>IF(A206="","",COUNTIF('Home Depot'!$C$8:$C$1007,A206) + COUNTIF('Lowes'!$C$8:$C$1007,A206) + COUNTIF('Amazon'!$C$8:$C$1007,A206) + COUNTIF('Misc Vendors'!$C$8:$C$1007,A206) + COUNTIF('Future Blank'!$C$8:$C$1007,A206))</x:f>
      </x:c>
    </x:row>
    <x:row r="207">
      <x:c r="A207" s="162" t="str">
        <x:f>IF('Setup Lists'!A191="","",'Setup Lists'!A191)</x:f>
      </x:c>
      <x:c r="B207" s="172" t="str">
        <x:f>IF(A207="","",SUMIF('Home Depot'!$C$8:$C$1007,A207,'Home Depot'!$H$8:$H$1007) + SUMIF('Lowes'!$C$8:$C$1007,A207,'Lowes'!$H$8:$H$1007) + SUMIF('Amazon'!$C$8:$C$1007,A207,'Amazon'!$H$8:$H$1007) + SUMIF('Misc Vendors'!$C$8:$C$1007,A207,'Misc Vendors'!$H$8:$H$1007) + SUMIF('Future Blank'!$C$8:$C$1007,A207,'Future Blank'!$H$8:$H$1007))</x:f>
      </x:c>
      <x:c r="C207" s="173" t="str">
        <x:f>IF(A207="","",COUNTIF('Home Depot'!$C$8:$C$1007,A207) + COUNTIF('Lowes'!$C$8:$C$1007,A207) + COUNTIF('Amazon'!$C$8:$C$1007,A207) + COUNTIF('Misc Vendors'!$C$8:$C$1007,A207) + COUNTIF('Future Blank'!$C$8:$C$1007,A207))</x:f>
      </x:c>
    </x:row>
    <x:row r="208">
      <x:c r="A208" s="162" t="str">
        <x:f>IF('Setup Lists'!A192="","",'Setup Lists'!A192)</x:f>
      </x:c>
      <x:c r="B208" s="172" t="str">
        <x:f>IF(A208="","",SUMIF('Home Depot'!$C$8:$C$1007,A208,'Home Depot'!$H$8:$H$1007) + SUMIF('Lowes'!$C$8:$C$1007,A208,'Lowes'!$H$8:$H$1007) + SUMIF('Amazon'!$C$8:$C$1007,A208,'Amazon'!$H$8:$H$1007) + SUMIF('Misc Vendors'!$C$8:$C$1007,A208,'Misc Vendors'!$H$8:$H$1007) + SUMIF('Future Blank'!$C$8:$C$1007,A208,'Future Blank'!$H$8:$H$1007))</x:f>
      </x:c>
      <x:c r="C208" s="173" t="str">
        <x:f>IF(A208="","",COUNTIF('Home Depot'!$C$8:$C$1007,A208) + COUNTIF('Lowes'!$C$8:$C$1007,A208) + COUNTIF('Amazon'!$C$8:$C$1007,A208) + COUNTIF('Misc Vendors'!$C$8:$C$1007,A208) + COUNTIF('Future Blank'!$C$8:$C$1007,A208))</x:f>
      </x:c>
    </x:row>
    <x:row r="209">
      <x:c r="A209" s="162" t="str">
        <x:f>IF('Setup Lists'!A193="","",'Setup Lists'!A193)</x:f>
      </x:c>
      <x:c r="B209" s="172" t="str">
        <x:f>IF(A209="","",SUMIF('Home Depot'!$C$8:$C$1007,A209,'Home Depot'!$H$8:$H$1007) + SUMIF('Lowes'!$C$8:$C$1007,A209,'Lowes'!$H$8:$H$1007) + SUMIF('Amazon'!$C$8:$C$1007,A209,'Amazon'!$H$8:$H$1007) + SUMIF('Misc Vendors'!$C$8:$C$1007,A209,'Misc Vendors'!$H$8:$H$1007) + SUMIF('Future Blank'!$C$8:$C$1007,A209,'Future Blank'!$H$8:$H$1007))</x:f>
      </x:c>
      <x:c r="C209" s="173" t="str">
        <x:f>IF(A209="","",COUNTIF('Home Depot'!$C$8:$C$1007,A209) + COUNTIF('Lowes'!$C$8:$C$1007,A209) + COUNTIF('Amazon'!$C$8:$C$1007,A209) + COUNTIF('Misc Vendors'!$C$8:$C$1007,A209) + COUNTIF('Future Blank'!$C$8:$C$1007,A209))</x:f>
      </x:c>
    </x:row>
    <x:row r="210">
      <x:c r="A210" s="162" t="str">
        <x:f>IF('Setup Lists'!A194="","",'Setup Lists'!A194)</x:f>
      </x:c>
      <x:c r="B210" s="172" t="str">
        <x:f>IF(A210="","",SUMIF('Home Depot'!$C$8:$C$1007,A210,'Home Depot'!$H$8:$H$1007) + SUMIF('Lowes'!$C$8:$C$1007,A210,'Lowes'!$H$8:$H$1007) + SUMIF('Amazon'!$C$8:$C$1007,A210,'Amazon'!$H$8:$H$1007) + SUMIF('Misc Vendors'!$C$8:$C$1007,A210,'Misc Vendors'!$H$8:$H$1007) + SUMIF('Future Blank'!$C$8:$C$1007,A210,'Future Blank'!$H$8:$H$1007))</x:f>
      </x:c>
      <x:c r="C210" s="173" t="str">
        <x:f>IF(A210="","",COUNTIF('Home Depot'!$C$8:$C$1007,A210) + COUNTIF('Lowes'!$C$8:$C$1007,A210) + COUNTIF('Amazon'!$C$8:$C$1007,A210) + COUNTIF('Misc Vendors'!$C$8:$C$1007,A210) + COUNTIF('Future Blank'!$C$8:$C$1007,A210))</x:f>
      </x:c>
    </x:row>
    <x:row r="211">
      <x:c r="A211" s="162" t="str">
        <x:f>IF('Setup Lists'!A195="","",'Setup Lists'!A195)</x:f>
      </x:c>
      <x:c r="B211" s="172" t="str">
        <x:f>IF(A211="","",SUMIF('Home Depot'!$C$8:$C$1007,A211,'Home Depot'!$H$8:$H$1007) + SUMIF('Lowes'!$C$8:$C$1007,A211,'Lowes'!$H$8:$H$1007) + SUMIF('Amazon'!$C$8:$C$1007,A211,'Amazon'!$H$8:$H$1007) + SUMIF('Misc Vendors'!$C$8:$C$1007,A211,'Misc Vendors'!$H$8:$H$1007) + SUMIF('Future Blank'!$C$8:$C$1007,A211,'Future Blank'!$H$8:$H$1007))</x:f>
      </x:c>
      <x:c r="C211" s="173" t="str">
        <x:f>IF(A211="","",COUNTIF('Home Depot'!$C$8:$C$1007,A211) + COUNTIF('Lowes'!$C$8:$C$1007,A211) + COUNTIF('Amazon'!$C$8:$C$1007,A211) + COUNTIF('Misc Vendors'!$C$8:$C$1007,A211) + COUNTIF('Future Blank'!$C$8:$C$1007,A211))</x:f>
      </x:c>
    </x:row>
    <x:row r="212">
      <x:c r="A212" s="162" t="str">
        <x:f>IF('Setup Lists'!A196="","",'Setup Lists'!A196)</x:f>
      </x:c>
      <x:c r="B212" s="172" t="str">
        <x:f>IF(A212="","",SUMIF('Home Depot'!$C$8:$C$1007,A212,'Home Depot'!$H$8:$H$1007) + SUMIF('Lowes'!$C$8:$C$1007,A212,'Lowes'!$H$8:$H$1007) + SUMIF('Amazon'!$C$8:$C$1007,A212,'Amazon'!$H$8:$H$1007) + SUMIF('Misc Vendors'!$C$8:$C$1007,A212,'Misc Vendors'!$H$8:$H$1007) + SUMIF('Future Blank'!$C$8:$C$1007,A212,'Future Blank'!$H$8:$H$1007))</x:f>
      </x:c>
      <x:c r="C212" s="173" t="str">
        <x:f>IF(A212="","",COUNTIF('Home Depot'!$C$8:$C$1007,A212) + COUNTIF('Lowes'!$C$8:$C$1007,A212) + COUNTIF('Amazon'!$C$8:$C$1007,A212) + COUNTIF('Misc Vendors'!$C$8:$C$1007,A212) + COUNTIF('Future Blank'!$C$8:$C$1007,A212))</x:f>
      </x:c>
    </x:row>
    <x:row r="213">
      <x:c r="A213" s="162" t="str">
        <x:f>IF('Setup Lists'!A197="","",'Setup Lists'!A197)</x:f>
      </x:c>
      <x:c r="B213" s="172" t="str">
        <x:f>IF(A213="","",SUMIF('Home Depot'!$C$8:$C$1007,A213,'Home Depot'!$H$8:$H$1007) + SUMIF('Lowes'!$C$8:$C$1007,A213,'Lowes'!$H$8:$H$1007) + SUMIF('Amazon'!$C$8:$C$1007,A213,'Amazon'!$H$8:$H$1007) + SUMIF('Misc Vendors'!$C$8:$C$1007,A213,'Misc Vendors'!$H$8:$H$1007) + SUMIF('Future Blank'!$C$8:$C$1007,A213,'Future Blank'!$H$8:$H$1007))</x:f>
      </x:c>
      <x:c r="C213" s="173" t="str">
        <x:f>IF(A213="","",COUNTIF('Home Depot'!$C$8:$C$1007,A213) + COUNTIF('Lowes'!$C$8:$C$1007,A213) + COUNTIF('Amazon'!$C$8:$C$1007,A213) + COUNTIF('Misc Vendors'!$C$8:$C$1007,A213) + COUNTIF('Future Blank'!$C$8:$C$1007,A213))</x:f>
      </x:c>
    </x:row>
    <x:row r="214">
      <x:c r="A214" s="162" t="str">
        <x:f>IF('Setup Lists'!A198="","",'Setup Lists'!A198)</x:f>
      </x:c>
      <x:c r="B214" s="172" t="str">
        <x:f>IF(A214="","",SUMIF('Home Depot'!$C$8:$C$1007,A214,'Home Depot'!$H$8:$H$1007) + SUMIF('Lowes'!$C$8:$C$1007,A214,'Lowes'!$H$8:$H$1007) + SUMIF('Amazon'!$C$8:$C$1007,A214,'Amazon'!$H$8:$H$1007) + SUMIF('Misc Vendors'!$C$8:$C$1007,A214,'Misc Vendors'!$H$8:$H$1007) + SUMIF('Future Blank'!$C$8:$C$1007,A214,'Future Blank'!$H$8:$H$1007))</x:f>
      </x:c>
      <x:c r="C214" s="173" t="str">
        <x:f>IF(A214="","",COUNTIF('Home Depot'!$C$8:$C$1007,A214) + COUNTIF('Lowes'!$C$8:$C$1007,A214) + COUNTIF('Amazon'!$C$8:$C$1007,A214) + COUNTIF('Misc Vendors'!$C$8:$C$1007,A214) + COUNTIF('Future Blank'!$C$8:$C$1007,A214))</x:f>
      </x:c>
    </x:row>
    <x:row r="215">
      <x:c r="A215" s="162" t="str">
        <x:f>IF('Setup Lists'!A199="","",'Setup Lists'!A199)</x:f>
      </x:c>
      <x:c r="B215" s="172" t="str">
        <x:f>IF(A215="","",SUMIF('Home Depot'!$C$8:$C$1007,A215,'Home Depot'!$H$8:$H$1007) + SUMIF('Lowes'!$C$8:$C$1007,A215,'Lowes'!$H$8:$H$1007) + SUMIF('Amazon'!$C$8:$C$1007,A215,'Amazon'!$H$8:$H$1007) + SUMIF('Misc Vendors'!$C$8:$C$1007,A215,'Misc Vendors'!$H$8:$H$1007) + SUMIF('Future Blank'!$C$8:$C$1007,A215,'Future Blank'!$H$8:$H$1007))</x:f>
      </x:c>
      <x:c r="C215" s="173" t="str">
        <x:f>IF(A215="","",COUNTIF('Home Depot'!$C$8:$C$1007,A215) + COUNTIF('Lowes'!$C$8:$C$1007,A215) + COUNTIF('Amazon'!$C$8:$C$1007,A215) + COUNTIF('Misc Vendors'!$C$8:$C$1007,A215) + COUNTIF('Future Blank'!$C$8:$C$1007,A215))</x:f>
      </x:c>
    </x:row>
    <x:row r="216">
      <x:c r="A216" s="162" t="str">
        <x:f>IF('Setup Lists'!A200="","",'Setup Lists'!A200)</x:f>
      </x:c>
      <x:c r="B216" s="172" t="str">
        <x:f>IF(A216="","",SUMIF('Home Depot'!$C$8:$C$1007,A216,'Home Depot'!$H$8:$H$1007) + SUMIF('Lowes'!$C$8:$C$1007,A216,'Lowes'!$H$8:$H$1007) + SUMIF('Amazon'!$C$8:$C$1007,A216,'Amazon'!$H$8:$H$1007) + SUMIF('Misc Vendors'!$C$8:$C$1007,A216,'Misc Vendors'!$H$8:$H$1007) + SUMIF('Future Blank'!$C$8:$C$1007,A216,'Future Blank'!$H$8:$H$1007))</x:f>
      </x:c>
      <x:c r="C216" s="173" t="str">
        <x:f>IF(A216="","",COUNTIF('Home Depot'!$C$8:$C$1007,A216) + COUNTIF('Lowes'!$C$8:$C$1007,A216) + COUNTIF('Amazon'!$C$8:$C$1007,A216) + COUNTIF('Misc Vendors'!$C$8:$C$1007,A216) + COUNTIF('Future Blank'!$C$8:$C$1007,A216))</x:f>
      </x:c>
    </x:row>
    <x:row r="217">
      <x:c r="A217" s="162" t="str">
        <x:f>IF('Setup Lists'!A201="","",'Setup Lists'!A201)</x:f>
      </x:c>
      <x:c r="B217" s="172" t="str">
        <x:f>IF(A217="","",SUMIF('Home Depot'!$C$8:$C$1007,A217,'Home Depot'!$H$8:$H$1007) + SUMIF('Lowes'!$C$8:$C$1007,A217,'Lowes'!$H$8:$H$1007) + SUMIF('Amazon'!$C$8:$C$1007,A217,'Amazon'!$H$8:$H$1007) + SUMIF('Misc Vendors'!$C$8:$C$1007,A217,'Misc Vendors'!$H$8:$H$1007) + SUMIF('Future Blank'!$C$8:$C$1007,A217,'Future Blank'!$H$8:$H$1007))</x:f>
      </x:c>
      <x:c r="C217" s="173" t="str">
        <x:f>IF(A217="","",COUNTIF('Home Depot'!$C$8:$C$1007,A217) + COUNTIF('Lowes'!$C$8:$C$1007,A217) + COUNTIF('Amazon'!$C$8:$C$1007,A217) + COUNTIF('Misc Vendors'!$C$8:$C$1007,A217) + COUNTIF('Future Blank'!$C$8:$C$1007,A217))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16" hidden="0" customWidth="1"/>
    <x:col min="8" max="8" width="14" hidden="0" customWidth="1"/>
    <x:col min="9" max="9" width="3" hidden="0" customWidth="1"/>
    <x:col min="10" max="10" width="16" hidden="0" customWidth="1"/>
    <x:col min="11" max="11" width="14" hidden="0" customWidth="1"/>
    <x:col min="12" max="12" width="3" hidden="0" customWidth="1"/>
  </x:cols>
  <x:sheetData>
    <x:row r="1" ht="32" customHeight="1">
      <x:c r="A1" s="34" t="str">
        <x:v>Hammer Brick &amp; Home LLC - Color Dashboard</x:v>
      </x:c>
      <x:c r="B1" t="str">
        <x:v>Hammer Brick &amp; Home LLC - Color Dashboard</x:v>
      </x:c>
      <x:c r="C1" t="str">
        <x:v>Hammer Brick &amp; Home LLC - Color Dashboard</x:v>
      </x:c>
      <x:c r="D1" t="str">
        <x:v>Hammer Brick &amp; Home LLC - Color Dashboard</x:v>
      </x:c>
      <x:c r="E1" t="str">
        <x:v>Hammer Brick &amp; Home LLC - Color Dashboard</x:v>
      </x:c>
      <x:c r="F1" t="str">
        <x:v>Hammer Brick &amp; Home LLC - Color Dashboard</x:v>
      </x:c>
      <x:c r="G1" t="str">
        <x:v>Hammer Brick &amp; Home LLC - Color Dashboard</x:v>
      </x:c>
      <x:c r="H1" t="str">
        <x:v>Hammer Brick &amp; Home LLC - Color Dashboard</x:v>
      </x:c>
      <x:c r="I1" t="str">
        <x:v>Hammer Brick &amp; Home LLC - Color Dashboard</x:v>
      </x:c>
      <x:c r="J1" t="str">
        <x:v>Hammer Brick &amp; Home LLC - Color Dashboard</x:v>
      </x:c>
      <x:c r="K1" t="str">
        <x:v>Hammer Brick &amp; Home LLC - Color Dashboard</x:v>
      </x:c>
      <x:c r="L1" t="str">
        <x:v>Hammer Brick &amp; Home LLC - Color Dashboard</x:v>
      </x:c>
    </x:row>
    <x:row r="2">
      <x:c r="A2" s="77" t="str">
        <x:v>Calm dark blue + gold dashboard. All charts and totals update from the five vendor receipt pages.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</x:row>
    <x:row r="4">
      <x:c r="A4" s="150" t="str">
        <x:v>Total Expenses</x:v>
      </x:c>
      <x:c r="B4" s="150"/>
      <x:c r="C4" s="150"/>
      <x:c r="D4" s="150" t="str">
        <x:v>Receipts Entered</x:v>
      </x:c>
      <x:c r="E4" s="150"/>
      <x:c r="F4" s="150"/>
      <x:c r="G4" s="150" t="str">
        <x:v>Average Receipt</x:v>
      </x:c>
      <x:c r="H4" s="150"/>
      <x:c r="I4" s="150"/>
      <x:c r="J4" s="150" t="str">
        <x:v>Pages Included</x:v>
      </x:c>
      <x:c r="K4" s="150"/>
      <x:c r="L4" s="150"/>
    </x:row>
    <x:row r="5">
      <x:c r="A5" s="153" t="n">
        <x:f>'All Expenses Summary'!B4</x:f>
        <x:v>0</x:v>
      </x:c>
      <x:c r="B5" s="151"/>
      <x:c r="C5" s="151"/>
      <x:c r="D5" s="154" t="n">
        <x:f>'All Expenses Summary'!B5</x:f>
        <x:v>0</x:v>
      </x:c>
      <x:c r="E5" s="151"/>
      <x:c r="F5" s="151"/>
      <x:c r="G5" s="153" t="n">
        <x:f>'All Expenses Summary'!B6</x:f>
        <x:v>0</x:v>
      </x:c>
      <x:c r="H5" s="151"/>
      <x:c r="I5" s="151"/>
      <x:c r="J5" s="154" t="n">
        <x:f>5</x:f>
        <x:v>5</x:v>
      </x:c>
      <x:c r="K5" s="151"/>
      <x:c r="L5" s="151"/>
    </x:row>
    <x:row r="6">
      <x:c r="A6" s="151"/>
      <x:c r="B6" s="151"/>
      <x:c r="C6" s="151"/>
      <x:c r="D6" s="151"/>
      <x:c r="E6" s="151"/>
      <x:c r="F6" s="151"/>
      <x:c r="G6" s="151"/>
      <x:c r="H6" s="151"/>
      <x:c r="I6" s="151"/>
      <x:c r="J6" s="151"/>
      <x:c r="K6" s="151"/>
      <x:c r="L6" s="151"/>
    </x:row>
    <x:row r="8">
      <x:c r="A8" s="116" t="str">
        <x:v>Vendor Page Totals</x:v>
      </x:c>
      <x:c r="B8" s="116" t="str">
        <x:v>Amount</x:v>
      </x:c>
      <x:c r="D8" s="116" t="str">
        <x:v>Payment Methods</x:v>
      </x:c>
      <x:c r="E8" s="116" t="str">
        <x:v>Amount</x:v>
      </x:c>
    </x:row>
    <x:row r="9">
      <x:c r="A9" s="121" t="str">
        <x:v>Home Depot</x:v>
      </x:c>
      <x:c r="B9" s="124" t="n">
        <x:f>'All Expenses Summary'!B10</x:f>
        <x:v>0</x:v>
      </x:c>
      <x:c r="D9" s="121" t="str">
        <x:v>Cash</x:v>
      </x:c>
      <x:c r="E9" s="124" t="n">
        <x:f>'All Expenses Summary'!F26</x:f>
        <x:v>0</x:v>
      </x:c>
    </x:row>
    <x:row r="10">
      <x:c r="A10" s="121" t="str">
        <x:v>Lowes</x:v>
      </x:c>
      <x:c r="B10" s="124" t="n">
        <x:f>'All Expenses Summary'!B11</x:f>
        <x:v>0</x:v>
      </x:c>
      <x:c r="D10" s="121" t="str">
        <x:v>Credit Card</x:v>
      </x:c>
      <x:c r="E10" s="124" t="n">
        <x:f>'All Expenses Summary'!F27</x:f>
        <x:v>0</x:v>
      </x:c>
    </x:row>
    <x:row r="11">
      <x:c r="A11" s="121" t="str">
        <x:v>Amazon</x:v>
      </x:c>
      <x:c r="B11" s="124" t="n">
        <x:f>'All Expenses Summary'!B12</x:f>
        <x:v>0</x:v>
      </x:c>
      <x:c r="D11" s="121" t="str">
        <x:v>Debit Card</x:v>
      </x:c>
      <x:c r="E11" s="124" t="n">
        <x:f>'All Expenses Summary'!F28</x:f>
        <x:v>0</x:v>
      </x:c>
    </x:row>
    <x:row r="12">
      <x:c r="A12" s="121" t="str">
        <x:v>Misc Vendors</x:v>
      </x:c>
      <x:c r="B12" s="124" t="n">
        <x:f>'All Expenses Summary'!B13</x:f>
        <x:v>0</x:v>
      </x:c>
      <x:c r="D12" s="121" t="str">
        <x:v>Check</x:v>
      </x:c>
      <x:c r="E12" s="124" t="n">
        <x:f>'All Expenses Summary'!F29</x:f>
        <x:v>0</x:v>
      </x:c>
    </x:row>
    <x:row r="13">
      <x:c r="A13" s="121" t="str">
        <x:v>Future Blank</x:v>
      </x:c>
      <x:c r="B13" s="124" t="n">
        <x:f>'All Expenses Summary'!B14</x:f>
        <x:v>0</x:v>
      </x:c>
      <x:c r="D13" s="121" t="str">
        <x:v>Zelle</x:v>
      </x:c>
      <x:c r="E13" s="124" t="n">
        <x:f>'All Expenses Summary'!F30</x:f>
        <x:v>0</x:v>
      </x:c>
    </x:row>
    <x:row r="14">
      <x:c r="D14" s="121" t="str">
        <x:v>Bank Transfer</x:v>
      </x:c>
      <x:c r="E14" s="124" t="n">
        <x:f>'All Expenses Summary'!F31</x:f>
        <x:v>0</x:v>
      </x:c>
    </x:row>
    <x:row r="15">
      <x:c r="D15" s="121" t="str">
        <x:v>Other</x:v>
      </x:c>
      <x:c r="E15" s="124" t="n">
        <x:f>'All Expenses Summary'!F32</x:f>
        <x:v>0</x:v>
      </x:c>
    </x:row>
    <x:row r="17">
      <x:c r="A17" s="116" t="str">
        <x:v>Tax Category</x:v>
      </x:c>
      <x:c r="B17" s="116" t="str">
        <x:v>Amount</x:v>
      </x:c>
      <x:c r="G17" s="116" t="str">
        <x:v>Month</x:v>
      </x:c>
      <x:c r="H17" s="116" t="str">
        <x:v>Amount</x:v>
      </x:c>
    </x:row>
    <x:row r="18">
      <x:c r="A18" s="129" t="str">
        <x:v>01 – Materials</x:v>
      </x:c>
      <x:c r="B18" s="132" t="n">
        <x:f>'All Expenses Summary'!F5</x:f>
        <x:v>0</x:v>
      </x:c>
      <x:c r="G18" s="129" t="str">
        <x:v>January</x:v>
      </x:c>
      <x:c r="H18" s="132" t="n">
        <x:f>'All Expenses Summary'!G36</x:f>
        <x:v>0</x:v>
      </x:c>
    </x:row>
    <x:row r="19">
      <x:c r="A19" s="129" t="str">
        <x:v>02 – Tools</x:v>
      </x:c>
      <x:c r="B19" s="132" t="n">
        <x:f>'All Expenses Summary'!F6</x:f>
        <x:v>0</x:v>
      </x:c>
      <x:c r="G19" s="129" t="str">
        <x:v>February</x:v>
      </x:c>
      <x:c r="H19" s="132" t="n">
        <x:f>'All Expenses Summary'!G37</x:f>
        <x:v>0</x:v>
      </x:c>
    </x:row>
    <x:row r="20">
      <x:c r="A20" s="129" t="str">
        <x:v>03 – Gas &amp; Mileage</x:v>
      </x:c>
      <x:c r="B20" s="132" t="n">
        <x:f>'All Expenses Summary'!F7</x:f>
        <x:v>0</x:v>
      </x:c>
      <x:c r="G20" s="129" t="str">
        <x:v>March</x:v>
      </x:c>
      <x:c r="H20" s="132" t="n">
        <x:f>'All Expenses Summary'!G38</x:f>
        <x:v>0</x:v>
      </x:c>
    </x:row>
    <x:row r="21">
      <x:c r="A21" s="129" t="str">
        <x:v>04 – Tolls</x:v>
      </x:c>
      <x:c r="B21" s="132" t="n">
        <x:f>'All Expenses Summary'!F8</x:f>
        <x:v>0</x:v>
      </x:c>
      <x:c r="G21" s="129" t="str">
        <x:v>April</x:v>
      </x:c>
      <x:c r="H21" s="132" t="n">
        <x:f>'All Expenses Summary'!G39</x:f>
        <x:v>0</x:v>
      </x:c>
    </x:row>
    <x:row r="22">
      <x:c r="A22" s="129" t="str">
        <x:v>05 – Meals (Business)</x:v>
      </x:c>
      <x:c r="B22" s="132" t="n">
        <x:f>'All Expenses Summary'!F9</x:f>
        <x:v>0</x:v>
      </x:c>
      <x:c r="G22" s="129" t="str">
        <x:v>May</x:v>
      </x:c>
      <x:c r="H22" s="132" t="n">
        <x:f>'All Expenses Summary'!G40</x:f>
        <x:v>0</x:v>
      </x:c>
    </x:row>
    <x:row r="23">
      <x:c r="A23" s="129" t="str">
        <x:v>06 – Job Supplies</x:v>
      </x:c>
      <x:c r="B23" s="132" t="n">
        <x:f>'All Expenses Summary'!F10</x:f>
        <x:v>0</x:v>
      </x:c>
      <x:c r="G23" s="129" t="str">
        <x:v>June</x:v>
      </x:c>
      <x:c r="H23" s="132" t="n">
        <x:f>'All Expenses Summary'!G41</x:f>
        <x:v>0</x:v>
      </x:c>
    </x:row>
    <x:row r="24">
      <x:c r="A24" s="129" t="str">
        <x:v>07 – Subcontractors</x:v>
      </x:c>
      <x:c r="B24" s="132" t="n">
        <x:f>'All Expenses Summary'!F11</x:f>
        <x:v>0</x:v>
      </x:c>
      <x:c r="G24" s="129" t="str">
        <x:v>July</x:v>
      </x:c>
      <x:c r="H24" s="132" t="n">
        <x:f>'All Expenses Summary'!G42</x:f>
        <x:v>0</x:v>
      </x:c>
    </x:row>
    <x:row r="25">
      <x:c r="A25" s="129" t="str">
        <x:v>08 – Rental Equipment</x:v>
      </x:c>
      <x:c r="B25" s="132" t="n">
        <x:f>'All Expenses Summary'!F12</x:f>
        <x:v>0</x:v>
      </x:c>
      <x:c r="G25" s="129" t="str">
        <x:v>August</x:v>
      </x:c>
      <x:c r="H25" s="132" t="n">
        <x:f>'All Expenses Summary'!G43</x:f>
        <x:v>0</x:v>
      </x:c>
    </x:row>
    <x:row r="26">
      <x:c r="A26" s="129" t="str">
        <x:v>09 – Marketing &amp; Advertising</x:v>
      </x:c>
      <x:c r="B26" s="132" t="n">
        <x:f>'All Expenses Summary'!F13</x:f>
        <x:v>0</x:v>
      </x:c>
      <x:c r="G26" s="129" t="str">
        <x:v>September</x:v>
      </x:c>
      <x:c r="H26" s="132" t="n">
        <x:f>'All Expenses Summary'!G44</x:f>
        <x:v>0</x:v>
      </x:c>
    </x:row>
    <x:row r="27">
      <x:c r="A27" s="129" t="str">
        <x:v>10 – Digital Ads</x:v>
      </x:c>
      <x:c r="B27" s="132" t="n">
        <x:f>'All Expenses Summary'!F14</x:f>
        <x:v>0</x:v>
      </x:c>
      <x:c r="G27" s="129" t="str">
        <x:v>October</x:v>
      </x:c>
      <x:c r="H27" s="132" t="n">
        <x:f>'All Expenses Summary'!G45</x:f>
        <x:v>0</x:v>
      </x:c>
    </x:row>
    <x:row r="28">
      <x:c r="A28" s="129" t="str">
        <x:v>11 – Website &amp; Software</x:v>
      </x:c>
      <x:c r="B28" s="132" t="n">
        <x:f>'All Expenses Summary'!F15</x:f>
        <x:v>0</x:v>
      </x:c>
      <x:c r="G28" s="129" t="str">
        <x:v>November</x:v>
      </x:c>
      <x:c r="H28" s="132" t="n">
        <x:f>'All Expenses Summary'!G46</x:f>
        <x:v>0</x:v>
      </x:c>
    </x:row>
    <x:row r="29">
      <x:c r="A29" s="129" t="str">
        <x:v>12 – Insurance</x:v>
      </x:c>
      <x:c r="B29" s="132" t="n">
        <x:f>'All Expenses Summary'!F16</x:f>
        <x:v>0</x:v>
      </x:c>
      <x:c r="G29" s="129" t="str">
        <x:v>December</x:v>
      </x:c>
      <x:c r="H29" s="132" t="n">
        <x:f>'All Expenses Summary'!G47</x:f>
        <x:v>0</x:v>
      </x:c>
    </x:row>
    <x:row r="30">
      <x:c r="A30" s="129" t="str">
        <x:v>13 – Licenses &amp; Fees</x:v>
      </x:c>
      <x:c r="B30" s="132" t="n">
        <x:f>'All Expenses Summary'!F17</x:f>
        <x:v>0</x:v>
      </x:c>
    </x:row>
    <x:row r="31">
      <x:c r="A31" s="129" t="str">
        <x:v>14 – Misc Expenses</x:v>
      </x:c>
      <x:c r="B31" s="132" t="n">
        <x:f>'All Expenses Summary'!F18</x:f>
        <x:v>0</x:v>
      </x:c>
    </x:row>
    <x:row r="32">
      <x:c r="A32" s="129" t="str">
        <x:v>15 – Equipment (Long-Term)</x:v>
      </x:c>
      <x:c r="B32" s="132" t="n">
        <x:f>'All Expenses Summary'!F19</x:f>
        <x:v>0</x:v>
      </x:c>
    </x:row>
    <x:row r="33">
      <x:c r="A33" s="129" t="str">
        <x:v>16 – Vehicle Expenses</x:v>
      </x:c>
      <x:c r="B33" s="132" t="n">
        <x:f>'All Expenses Summary'!F20</x:f>
        <x:v>0</x:v>
      </x:c>
    </x:row>
    <x:row r="34">
      <x:c r="A34" s="129" t="str">
        <x:v>17 – Home Office</x:v>
      </x:c>
      <x:c r="B34" s="132" t="n">
        <x:f>'All Expenses Summary'!F21</x:f>
        <x:v>0</x:v>
      </x:c>
    </x:row>
    <x:row r="35">
      <x:c r="A35" s="129" t="str">
        <x:v>18 – Phone &amp; Internet</x:v>
      </x:c>
      <x:c r="B35" s="132" t="n">
        <x:f>'All Expenses Summary'!F22</x:f>
        <x:v>0</x:v>
      </x:c>
    </x:row>
    <x:row r="58">
      <x:c r="A58" s="193" t="str">
        <x:v>Apple-friendly note: The tax-category pie will look like one solid circle if all spending is in one category. It splits into slices after you enter spending in 2 or more tax categories.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58:L58"/>
  </x:mergeCells>
  <x:pageMargins left="0.7" right="0.7" top="0.75" bottom="0.75" header="0.3" footer="0.3"/>
  <x:drawing xmlns:r="http://schemas.openxmlformats.org/officeDocument/2006/relationships" r:id="Rdd3a0de787ad47ff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44" hidden="0" customWidth="1"/>
    <x:col min="4" max="4" width="14" hidden="0" customWidth="1"/>
  </x:cols>
  <x:sheetData>
    <x:row r="1">
      <x:c r="A1" s="196" t="str">
        <x:v>Apple-Friendly Pro Tips for HBH Tax Receipt Tracker</x:v>
      </x:c>
    </x:row>
    <x:row r="2">
      <x:c r="A2" s="199" t="str">
        <x:v>Use these ideas to make the tracker more helpful without adding risky Apple Numbers formulas.</x:v>
      </x:c>
    </x:row>
    <x:row r="4">
      <x:c r="A4" s="202" t="str">
        <x:v>Upgrade</x:v>
      </x:c>
      <x:c r="B4" s="202" t="str">
        <x:v>Why it helps</x:v>
      </x:c>
      <x:c r="C4" s="202" t="str">
        <x:v>Apple-friendly way to do it</x:v>
      </x:c>
      <x:c r="D4" s="202" t="str">
        <x:v>Priority</x:v>
      </x:c>
    </x:row>
    <x:row r="5">
      <x:c r="A5" s="203" t="str">
        <x:v>Receipt file name in Notes</x:v>
      </x:c>
      <x:c r="B5" s="203" t="str">
        <x:v>Makes tax prep proof easy if accountant asks</x:v>
      </x:c>
      <x:c r="C5" s="203" t="str">
        <x:v>Type the photo/PDF file name in Description / Notes or Account / Card</x:v>
      </x:c>
      <x:c r="D5" s="203" t="str">
        <x:v>High</x:v>
      </x:c>
    </x:row>
    <x:row r="6">
      <x:c r="A6" s="203" t="str">
        <x:v>Monthly review habit</x:v>
      </x:c>
      <x:c r="B6" s="203" t="str">
        <x:v>Shows where money is going before tax season</x:v>
      </x:c>
      <x:c r="C6" s="203" t="str">
        <x:v>After each month, check Dashboard total + Monthly Spending chart</x:v>
      </x:c>
      <x:c r="D6" s="203" t="str">
        <x:v>High</x:v>
      </x:c>
    </x:row>
    <x:row r="7">
      <x:c r="A7" s="203" t="str">
        <x:v>Exact category spelling</x:v>
      </x:c>
      <x:c r="B7" s="203" t="str">
        <x:v>Keeps Tax Category Totals and pie chart correct</x:v>
      </x:c>
      <x:c r="C7" s="203" t="str">
        <x:v>Use the same wording from Setup Lists every time</x:v>
      </x:c>
      <x:c r="D7" s="203" t="str">
        <x:v>High</x:v>
      </x:c>
    </x:row>
    <x:row r="8">
      <x:c r="A8" s="203" t="str">
        <x:v>Consistent vendor names</x:v>
      </x:c>
      <x:c r="B8" s="203" t="str">
        <x:v>Makes Custom Vendor Totals useful</x:v>
      </x:c>
      <x:c r="C8" s="203" t="str">
        <x:v>Use one spelling per store, like Home Depot not HD</x:v>
      </x:c>
      <x:c r="D8" s="203" t="str">
        <x:v>High</x:v>
      </x:c>
    </x:row>
    <x:row r="9">
      <x:c r="A9" s="203" t="str">
        <x:v>Separate business cards</x:v>
      </x:c>
      <x:c r="B9" s="203" t="str">
        <x:v>Makes bank reconciliation faster</x:v>
      </x:c>
      <x:c r="C9" s="203" t="str">
        <x:v>Use Payment Method + Account/Card every receipt</x:v>
      </x:c>
      <x:c r="D9" s="203" t="str">
        <x:v>Medium</x:v>
      </x:c>
    </x:row>
    <x:row r="10">
      <x:c r="A10" s="203" t="str">
        <x:v>Receipt folder system</x:v>
      </x:c>
      <x:c r="B10" s="203" t="str">
        <x:v>Keeps proof organized outside the workbook</x:v>
      </x:c>
      <x:c r="C10" s="203" t="str">
        <x:v>Name receipt files like 2026-03-15_HomeDepot_123.45.jpg</x:v>
      </x:c>
      <x:c r="D10" s="203" t="str">
        <x:v>Medium</x:v>
      </x:c>
    </x:row>
    <x:row r="11">
      <x:c r="A11" s="203" t="str">
        <x:v>Monthly backup</x:v>
      </x:c>
      <x:c r="B11" s="203" t="str">
        <x:v>Protects your tax records</x:v>
      </x:c>
      <x:c r="C11" s="203" t="str">
        <x:v>Save a copy at month-end: HBH_Receipts_March_2026.xlsx</x:v>
      </x:c>
      <x:c r="D11" s="203" t="str">
        <x:v>Medium</x:v>
      </x:c>
    </x:row>
    <x:row r="12">
      <x:c r="A12" s="203" t="str">
        <x:v>Avoid complex Numbers formulas</x:v>
      </x:c>
      <x:c r="B12" s="203" t="str">
        <x:v>Keeps it stable on iPhone/Mac</x:v>
      </x:c>
      <x:c r="C12" s="203" t="str">
        <x:v>Stick with SUM, SUMIF, SUMIFS, COUNTIF, IF</x:v>
      </x:c>
      <x:c r="D12" s="203" t="str">
        <x:v>High</x:v>
      </x:c>
    </x:row>
  </x:sheetData>
  <x:mergeCells>
    <x:mergeCell ref="A1:H1"/>
    <x:mergeCell ref="A2:H2"/>
  </x:mergeCells>
  <x:pageMargins left="0.7" right="0.7" top="0.75" bottom="0.75" header="0.3" footer="0.3"/>
</x:worksheet>
</file>